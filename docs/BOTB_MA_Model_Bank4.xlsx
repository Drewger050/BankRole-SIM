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ey Steps in M&amp;A Process" sheetId="1" state="visible" r:id="rId3"/>
    <sheet name="Sim M&amp;A Checklist-Metrics Check" sheetId="2" state="visible" r:id="rId4"/>
    <sheet name="Model" sheetId="3" state="visible" r:id="rId5"/>
    <sheet name="Assumptions" sheetId="4" state="visible" r:id="rId6"/>
    <sheet name="M&amp;A Multiples - Info Only" sheetId="5" state="visible" r:id="rId7"/>
  </sheets>
  <definedNames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false" name="IQ_NTM" vbProcedure="false">6000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<sst xmlns="http://schemas.openxmlformats.org/spreadsheetml/2006/main" count="284" uniqueCount="196">
  <si>
    <t xml:space="preserve">Key Steps in M&amp;A</t>
  </si>
  <si>
    <t xml:space="preserve">Define Strategic Objectives</t>
  </si>
  <si>
    <t xml:space="preserve">How Does M&amp;A fit into these</t>
  </si>
  <si>
    <t xml:space="preserve">Define M&amp;A Principles (TBVS dilution, EPS Accretion, Workback minimums and Targets)</t>
  </si>
  <si>
    <t xml:space="preserve">Conduct Situation Assessment (Are we a CAMELS "2", do we have enough capital, earnings, and corporate structure)</t>
  </si>
  <si>
    <t xml:space="preserve">Who are the Targets and do any of them meet the strategic objectives</t>
  </si>
  <si>
    <t xml:space="preserve">Model the combined company and discuss the pros and cons</t>
  </si>
  <si>
    <t xml:space="preserve">What are we getting in value vs. the execution risk</t>
  </si>
  <si>
    <t xml:space="preserve">Adapted for GSBC BankSim</t>
  </si>
  <si>
    <t xml:space="preserve">GSBC Sim M&amp;A Checklist</t>
  </si>
  <si>
    <t xml:space="preserve">Initial When Complete</t>
  </si>
  <si>
    <t xml:space="preserve">Identify &amp; summarize how &amp; why a merger or acqusition would fit into your strategic objectives</t>
  </si>
  <si>
    <t xml:space="preserve">Select at least one bank in your community to analyze for acquistion and/or "merger of equals"</t>
  </si>
  <si>
    <t xml:space="preserve">Model the acquisition under one or multiple scenarios (please understand that a Bank will only accept a value greater than their trading value - usually 20% - 30% more) - See B550</t>
  </si>
  <si>
    <t xml:space="preserve">Review the combined company and discuss pro's &amp; con's</t>
  </si>
  <si>
    <t xml:space="preserve">Review Model outcomes against the Issues List</t>
  </si>
  <si>
    <t xml:space="preserve">Consider &amp; Plan Post Merger Executive Management team - including opportunities, challenges and risks</t>
  </si>
  <si>
    <t xml:space="preserve">Determine if you wish to seek Regulatory (Instructor) Approval </t>
  </si>
  <si>
    <t xml:space="preserve">If necessary, address any obstacles identified by Regulator (Instructor) &amp; rerun model</t>
  </si>
  <si>
    <t xml:space="preserve">Seek Regulatory Approval and/or Decide to Move Forward or Abandon Opportunity</t>
  </si>
  <si>
    <t xml:space="preserve">Evaluate what you would be getting in value vs. the possible execution risks (i.e., both financial &amp; non-financial - loss of key officers, etc.)</t>
  </si>
  <si>
    <t xml:space="preserve">Address what you learned in this exercise in one or two slides in your Shareholder Presentation</t>
  </si>
  <si>
    <t xml:space="preserve">"Go" to "No Go" Range</t>
  </si>
  <si>
    <t xml:space="preserve">GSBC SIM Key M&amp;A Components - Check Against Key Financial Metrics</t>
  </si>
  <si>
    <t xml:space="preserve">"Go or Discuss" Range</t>
  </si>
  <si>
    <t xml:space="preserve">"No Go"- Must Have Reason</t>
  </si>
  <si>
    <t xml:space="preserve">Target Bank CAMELS Composite Rating - Most recent exam - PLEASE INPUT</t>
  </si>
  <si>
    <t xml:space="preserve">&lt;4</t>
  </si>
  <si>
    <t xml:space="preserve">&gt;3</t>
  </si>
  <si>
    <t xml:space="preserve">Buyer Bank CAMELS Composite Rating - Most recent exam - PLEASE INPUT</t>
  </si>
  <si>
    <t xml:space="preserve">&lt;3</t>
  </si>
  <si>
    <t xml:space="preserve">&gt;2</t>
  </si>
  <si>
    <t xml:space="preserve">Post Merger Tangible Common Equity/Tangible Assets - See Model - Row 39 Column G</t>
  </si>
  <si>
    <t xml:space="preserve">&gt;5.99%</t>
  </si>
  <si>
    <t xml:space="preserve">&lt;6.00%</t>
  </si>
  <si>
    <t xml:space="preserve">Tangible Book Value Per Share (TBVS) Workback Period - See Assumptions - Line 4, Column F &amp; G</t>
  </si>
  <si>
    <t xml:space="preserve">&lt;5.00</t>
  </si>
  <si>
    <t xml:space="preserve">&gt;5.01</t>
  </si>
  <si>
    <t xml:space="preserve">Immediately Core Earnings Accretive (excluding one time charges) - See Assumptions - Row 3, Column F &amp; G</t>
  </si>
  <si>
    <t xml:space="preserve">&gt;0.01</t>
  </si>
  <si>
    <t xml:space="preserve">&lt;0</t>
  </si>
  <si>
    <t xml:space="preserve">Tangible Book Value Per Share (TBVS) Dilution % - See Assumptions - Row 2, Column F &amp; G</t>
  </si>
  <si>
    <t xml:space="preserve">&gt;-10.00%</t>
  </si>
  <si>
    <t xml:space="preserve">&lt;-10.01%</t>
  </si>
  <si>
    <t xml:space="preserve">Cost Savings % Used - See Assumptions Row 13, Column C</t>
  </si>
  <si>
    <t xml:space="preserve">&lt;40.00%</t>
  </si>
  <si>
    <t xml:space="preserve">&gt;40.01%</t>
  </si>
  <si>
    <t xml:space="preserve">Deal Expense % Used - See Assumptions Row 14, Column C</t>
  </si>
  <si>
    <t xml:space="preserve">&lt;12.00%</t>
  </si>
  <si>
    <t xml:space="preserve">&gt;12.01%</t>
  </si>
  <si>
    <t xml:space="preserve">Buyers Stock Price to TBVS - See Assumptions Row 18, Column F &amp; G</t>
  </si>
  <si>
    <t xml:space="preserve">&gt;100.0%</t>
  </si>
  <si>
    <t xml:space="preserve">&lt;100%</t>
  </si>
  <si>
    <t xml:space="preserve">Core Deposit Intangible (CDI) % - See Assumptions Row 19, Column C</t>
  </si>
  <si>
    <t xml:space="preserve">&lt;4.0%</t>
  </si>
  <si>
    <t xml:space="preserve">&gt;4.01%</t>
  </si>
  <si>
    <t xml:space="preserve">Any Issues:</t>
  </si>
  <si>
    <t xml:space="preserve">Bank 1 - Bottom of the Barrel Bank</t>
  </si>
  <si>
    <t xml:space="preserve">Bank 4</t>
  </si>
  <si>
    <t xml:space="preserve">Transaction Adjustments</t>
  </si>
  <si>
    <t xml:space="preserve">Combined</t>
  </si>
  <si>
    <t xml:space="preserve">Balance Sheet (millions)</t>
  </si>
  <si>
    <t xml:space="preserve">Report Reference</t>
  </si>
  <si>
    <t xml:space="preserve">Cash and Due From</t>
  </si>
  <si>
    <t xml:space="preserve">B021</t>
  </si>
  <si>
    <t xml:space="preserve">Federal Funds Sold</t>
  </si>
  <si>
    <t xml:space="preserve">Securities</t>
  </si>
  <si>
    <t xml:space="preserve">Loans (Gross)</t>
  </si>
  <si>
    <t xml:space="preserve">Calculated</t>
  </si>
  <si>
    <t xml:space="preserve">Allowance for Credit Losses (enter a negative)</t>
  </si>
  <si>
    <t xml:space="preserve">Handout</t>
  </si>
  <si>
    <t xml:space="preserve">Loans (Net)</t>
  </si>
  <si>
    <t xml:space="preserve">Premises (Net)</t>
  </si>
  <si>
    <t xml:space="preserve">Other Assets</t>
  </si>
  <si>
    <t xml:space="preserve">Total Intangibles</t>
  </si>
  <si>
    <t xml:space="preserve">     Total Assets</t>
  </si>
  <si>
    <t xml:space="preserve">"Core" (non-maturity) Deposits</t>
  </si>
  <si>
    <t xml:space="preserve">Retail/Public/Brokered CDs</t>
  </si>
  <si>
    <t xml:space="preserve">Total Deposits</t>
  </si>
  <si>
    <t xml:space="preserve">Borrowed Funds</t>
  </si>
  <si>
    <t xml:space="preserve">Other Liabilities</t>
  </si>
  <si>
    <t xml:space="preserve">Long-Term Debt</t>
  </si>
  <si>
    <t xml:space="preserve">Subordinated Debt</t>
  </si>
  <si>
    <t xml:space="preserve">     Total Liabilities</t>
  </si>
  <si>
    <t xml:space="preserve">Owners Equity</t>
  </si>
  <si>
    <t xml:space="preserve">     Total Equity</t>
  </si>
  <si>
    <t xml:space="preserve">     Total Liabilities and Equity</t>
  </si>
  <si>
    <t xml:space="preserve">Balance Sheet
Per Share Metrics and Acc / (Dil)</t>
  </si>
  <si>
    <t xml:space="preserve">Acc / (Dil)</t>
  </si>
  <si>
    <t xml:space="preserve">Common Shares Outstanding</t>
  </si>
  <si>
    <t xml:space="preserve">B550</t>
  </si>
  <si>
    <t xml:space="preserve">Stock Price/Share</t>
  </si>
  <si>
    <t xml:space="preserve">Tangible Book Value Per Share</t>
  </si>
  <si>
    <t xml:space="preserve">Tangible Common Equity/Tangible Assets</t>
  </si>
  <si>
    <t xml:space="preserve">Price / Tangible Book Value Per Share</t>
  </si>
  <si>
    <t xml:space="preserve">Income Statement (millions)</t>
  </si>
  <si>
    <t xml:space="preserve">*Please be sure to use the Annual/YTD columns on the right-hand side of the Report.</t>
  </si>
  <si>
    <t xml:space="preserve">Interest Income</t>
  </si>
  <si>
    <t xml:space="preserve">B022</t>
  </si>
  <si>
    <t xml:space="preserve">Interest Expense</t>
  </si>
  <si>
    <t xml:space="preserve">Net Interest on Swaps</t>
  </si>
  <si>
    <t xml:space="preserve">Net Interest Income</t>
  </si>
  <si>
    <t xml:space="preserve">Fees, Service Charges, and Other Income</t>
  </si>
  <si>
    <t xml:space="preserve">Credit Loss Provision</t>
  </si>
  <si>
    <t xml:space="preserve">Operating Expenses</t>
  </si>
  <si>
    <t xml:space="preserve">Amortization of Intangible Assets</t>
  </si>
  <si>
    <t xml:space="preserve">N/A</t>
  </si>
  <si>
    <t xml:space="preserve">Operating Earnings</t>
  </si>
  <si>
    <t xml:space="preserve">Gains, Losses on Assets</t>
  </si>
  <si>
    <t xml:space="preserve">Net Income Before Taxes</t>
  </si>
  <si>
    <t xml:space="preserve">Income Taxes</t>
  </si>
  <si>
    <t xml:space="preserve">Net Income After Taxes</t>
  </si>
  <si>
    <t xml:space="preserve">Adjustments for nonrecurring items</t>
  </si>
  <si>
    <t xml:space="preserve">(e.g. Gains)</t>
  </si>
  <si>
    <t xml:space="preserve">Adjusted Net Income Before Taxes</t>
  </si>
  <si>
    <t xml:space="preserve">Adjusted Income Taxes</t>
  </si>
  <si>
    <t xml:space="preserve">Adjusted Net Income After Taxes</t>
  </si>
  <si>
    <t xml:space="preserve">Income Statement
Per Share Metrics and Acc / (Dil)</t>
  </si>
  <si>
    <t xml:space="preserve">Acc/(Dil)</t>
  </si>
  <si>
    <t xml:space="preserve">Choice</t>
  </si>
  <si>
    <t xml:space="preserve">Earnings Per Share (EPS)</t>
  </si>
  <si>
    <t xml:space="preserve">Cash EPS</t>
  </si>
  <si>
    <t xml:space="preserve">Price / EPS</t>
  </si>
  <si>
    <t xml:space="preserve">Please Complete all Yellow Highlighted Cells for Assumptions</t>
  </si>
  <si>
    <t xml:space="preserve">Assumptions (All $ numbers in Millions, except for stock price)</t>
  </si>
  <si>
    <t xml:space="preserve">Notes:</t>
  </si>
  <si>
    <t xml:space="preserve">Offer price (per share)</t>
  </si>
  <si>
    <t xml:space="preserve">Generally 20-30% over market value: Ensure pricing is reasonable to comparables on Following Tab</t>
  </si>
  <si>
    <t xml:space="preserve">Deal Consideration Mix</t>
  </si>
  <si>
    <t xml:space="preserve">Stock</t>
  </si>
  <si>
    <t xml:space="preserve">Load Consideration Mix</t>
  </si>
  <si>
    <t xml:space="preserve">Cash</t>
  </si>
  <si>
    <t xml:space="preserve">Cost Savings</t>
  </si>
  <si>
    <t xml:space="preserve">20% to 40% is Typical</t>
  </si>
  <si>
    <t xml:space="preserve">Deal Expenses</t>
  </si>
  <si>
    <t xml:space="preserve">7% to 12% is Typical</t>
  </si>
  <si>
    <t xml:space="preserve">Deal Expenses % Buyer</t>
  </si>
  <si>
    <t xml:space="preserve">Credit Mark</t>
  </si>
  <si>
    <t xml:space="preserve">100% - 150% of Target ACL is Typical</t>
  </si>
  <si>
    <t xml:space="preserve">CDI (Core Deposit Intangible)</t>
  </si>
  <si>
    <t xml:space="preserve">2% to 4% is Typical</t>
  </si>
  <si>
    <t xml:space="preserve">Tax Rate on Transaction</t>
  </si>
  <si>
    <t xml:space="preserve">Opportunity Cost of Cash</t>
  </si>
  <si>
    <t xml:space="preserve">Use Current Fed Funds Rate in Bank Sim - Report B900</t>
  </si>
  <si>
    <t xml:space="preserve">Note:  On the Model Tab Please load all Yellow Highlighted Cells</t>
  </si>
  <si>
    <t xml:space="preserve">Note:  This high level model does not include the impact of interest rate mark nor the accretion of any credit marks</t>
  </si>
  <si>
    <t xml:space="preserve">Credit Mark:  Used to estimate fair value of loan portfolio.</t>
  </si>
  <si>
    <t xml:space="preserve">Engine 1:</t>
  </si>
  <si>
    <t xml:space="preserve">Target's Price Per Share</t>
  </si>
  <si>
    <t xml:space="preserve">P/TBVS</t>
  </si>
  <si>
    <t xml:space="preserve">P/EPS</t>
  </si>
  <si>
    <t xml:space="preserve">Exchange</t>
  </si>
  <si>
    <t xml:space="preserve">P/MV</t>
  </si>
  <si>
    <t xml:space="preserve">Buyer's Rate</t>
  </si>
  <si>
    <t xml:space="preserve">Target's Rates</t>
  </si>
  <si>
    <t xml:space="preserve">Target Equity</t>
  </si>
  <si>
    <t xml:space="preserve">Target Intangibles</t>
  </si>
  <si>
    <t xml:space="preserve">Deal Expenses of Target Tax Adjusted</t>
  </si>
  <si>
    <t xml:space="preserve">CDI (Tax Adjusted)</t>
  </si>
  <si>
    <t xml:space="preserve">Goodwill</t>
  </si>
  <si>
    <t xml:space="preserve">Net Goodwill</t>
  </si>
  <si>
    <t xml:space="preserve">Engine 2:</t>
  </si>
  <si>
    <t xml:space="preserve">Balance Sheet</t>
  </si>
  <si>
    <t xml:space="preserve">CDI</t>
  </si>
  <si>
    <t xml:space="preserve">TE Target</t>
  </si>
  <si>
    <t xml:space="preserve">TE Buyer</t>
  </si>
  <si>
    <t xml:space="preserve">Purchase Price</t>
  </si>
  <si>
    <t xml:space="preserve">Total</t>
  </si>
  <si>
    <t xml:space="preserve">Cash Items</t>
  </si>
  <si>
    <t xml:space="preserve">Allowance for Credit Losses</t>
  </si>
  <si>
    <t xml:space="preserve">Total Common Equity</t>
  </si>
  <si>
    <t xml:space="preserve">Valuation M&amp;A Model - M&amp;A Multiples</t>
  </si>
  <si>
    <t xml:space="preserve">Tangible Book Acquisition Multiples</t>
  </si>
  <si>
    <t xml:space="preserve">2026 YTD*</t>
  </si>
  <si>
    <t xml:space="preserve">National Medians</t>
  </si>
  <si>
    <t xml:space="preserve">Bank</t>
  </si>
  <si>
    <t xml:space="preserve">Regional Medians</t>
  </si>
  <si>
    <t xml:space="preserve">Mid-Atlantic Bank</t>
  </si>
  <si>
    <t xml:space="preserve">Midwest Bank</t>
  </si>
  <si>
    <t xml:space="preserve">Northeast Bank</t>
  </si>
  <si>
    <t xml:space="preserve">Southeast Bank</t>
  </si>
  <si>
    <t xml:space="preserve">Southwest Bank</t>
  </si>
  <si>
    <t xml:space="preserve">West Bank</t>
  </si>
  <si>
    <t xml:space="preserve">Deal Size Medians</t>
  </si>
  <si>
    <t xml:space="preserve">&lt;$10 Mil Bank Market Cap</t>
  </si>
  <si>
    <t xml:space="preserve">NA</t>
  </si>
  <si>
    <t xml:space="preserve">$10 Mil and $50 Mil Bank Market Cap</t>
  </si>
  <si>
    <t xml:space="preserve">$50 Mil and $100 Mil Bank Market Cap</t>
  </si>
  <si>
    <t xml:space="preserve">$100 Mil and $500 Mil Bank Market Cap</t>
  </si>
  <si>
    <t xml:space="preserve">&gt;$500 Mil Bank Market Cap</t>
  </si>
  <si>
    <t xml:space="preserve">*Note: YTD 2026 as of 05/29/26</t>
  </si>
  <si>
    <t xml:space="preserve">Earnings Acquisition Multiples (x)</t>
  </si>
  <si>
    <t xml:space="preserve">Historical Open Bank M&amp;A Activity</t>
  </si>
  <si>
    <t xml:space="preserve">Aggregate Deal Value ($mil)</t>
  </si>
  <si>
    <t xml:space="preserve">Number of Transactions</t>
  </si>
  <si>
    <t xml:space="preserve">Average Announced Deal Size ($mil)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</si>
</sst>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%"/>
    <numFmt numFmtId="166" formatCode="0.00%"/>
    <numFmt numFmtId="167" formatCode="General"/>
    <numFmt numFmtId="168" formatCode="_(* #,##0.00_);_(* \(#,##0.00\);_(* \-??_);_(@_)"/>
    <numFmt numFmtId="169" formatCode="0.0%"/>
    <numFmt numFmtId="170" formatCode="_(* #,##0.0_);_(* \(#,##0.0\);_(* \-??_);_(@_)"/>
    <numFmt numFmtId="171" formatCode="_(* #,##0.000_);_(* \(#,##0.000\);_(* \-??_);_(@_)"/>
    <numFmt numFmtId="172" formatCode="_(\$* #,##0.00_);_(\$* \(#,##0.00\);_(\$* \-??_);_(@_)"/>
    <numFmt numFmtId="173" formatCode="_(\$* #,##0.0_);_(\$* \(#,##0.0\);_(\$* \-??_);_(@_)"/>
    <numFmt numFmtId="174" formatCode="_(\$* #,##0.000_);_(\$* \(#,##0.000\);_(\$* \-??_);_(@_)"/>
    <numFmt numFmtId="175" formatCode="_(* #,##0_);_(* \(#,##0\);_(* \-??_);_(@_)"/>
    <numFmt numFmtId="176" formatCode="_(\$* #,##0.00_);_(\$* \(#,##0.00\);_(\$* \-??_);_(@_)"/>
    <numFmt numFmtId="177" formatCode="_(* #,##0_);_(* \(#,##0\);_(* \-_);_(@_)"/>
    <numFmt numFmtId="178" formatCode="_(* #,##0.000_);_(* \(#,##0.000\);_(* \-_);_(@_)"/>
    <numFmt numFmtId="179" formatCode="_(\$* #,##0_);_(\$* \(#,##0\);_(\$* \-??_);_(@_)"/>
    <numFmt numFmtId="180" formatCode="_(\$* #,##0.000_);_(\$* \(#,##0.000\);_(\$* \-_);_(@_)"/>
    <numFmt numFmtId="181" formatCode="0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u val="single"/>
      <sz val="16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u val="single"/>
      <sz val="16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6"/>
      <color theme="0"/>
      <name val="Arial"/>
      <family val="2"/>
      <charset val="1"/>
    </font>
    <font>
      <sz val="16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  <font>
      <sz val="16"/>
      <name val="Arial"/>
      <family val="2"/>
      <charset val="1"/>
    </font>
    <font>
      <sz val="16"/>
      <color rgb="FFFFFFFF"/>
      <name val="Arial"/>
      <family val="2"/>
      <charset val="1"/>
    </font>
    <font>
      <i val="true"/>
      <sz val="10"/>
      <name val="Arial"/>
      <family val="2"/>
      <charset val="1"/>
    </font>
    <font>
      <sz val="16"/>
      <color theme="0"/>
      <name val="Arial"/>
      <family val="2"/>
      <charset val="1"/>
    </font>
    <font>
      <sz val="16"/>
      <color rgb="FF0000FF"/>
      <name val="Arial"/>
      <family val="2"/>
      <charset val="1"/>
    </font>
    <font>
      <sz val="16"/>
      <color theme="0"/>
      <name val="Calibri"/>
      <family val="2"/>
      <charset val="1"/>
    </font>
    <font>
      <sz val="16"/>
      <color theme="1"/>
      <name val="Calibri"/>
      <family val="2"/>
      <charset val="1"/>
    </font>
    <font>
      <b val="true"/>
      <sz val="18"/>
      <color theme="0"/>
      <name val="Calibri"/>
      <family val="2"/>
      <charset val="1"/>
    </font>
    <font>
      <u val="single"/>
      <sz val="16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222A35"/>
      </patternFill>
    </fill>
    <fill>
      <patternFill patternType="solid">
        <fgColor rgb="FFFFFF99"/>
        <bgColor rgb="FFFFFFCC"/>
      </patternFill>
    </fill>
    <fill>
      <patternFill patternType="solid">
        <fgColor theme="3" tint="-0.5"/>
        <bgColor rgb="FF333300"/>
      </patternFill>
    </fill>
    <fill>
      <patternFill patternType="solid">
        <fgColor rgb="FFFF0000"/>
        <bgColor rgb="FF9C0006"/>
      </patternFill>
    </fill>
    <fill>
      <patternFill patternType="solid">
        <fgColor theme="8" tint="0.7999"/>
        <bgColor rgb="FFD9D9D9"/>
      </patternFill>
    </fill>
    <fill>
      <patternFill patternType="solid">
        <fgColor theme="6" tint="0.3999"/>
        <bgColor rgb="FFBFBFBF"/>
      </patternFill>
    </fill>
    <fill>
      <patternFill patternType="solid">
        <fgColor theme="0" tint="-0.25"/>
        <bgColor rgb="FFC9C9C9"/>
      </patternFill>
    </fill>
    <fill>
      <patternFill patternType="solid">
        <fgColor theme="0" tint="-0.15"/>
        <bgColor rgb="FFC9C9C9"/>
      </patternFill>
    </fill>
    <fill>
      <patternFill patternType="solid">
        <fgColor theme="0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2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top" textRotation="0" wrapText="false" indent="3" shrinkToFit="false"/>
      <protection locked="true" hidden="false"/>
    </xf>
    <xf numFmtId="164" fontId="10" fillId="3" borderId="8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0" xfId="1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15" fillId="0" borderId="0" xfId="15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15" fillId="3" borderId="9" xfId="15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70" fontId="15" fillId="0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10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3" borderId="9" xfId="15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3" fontId="19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4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20" fillId="3" borderId="0" xfId="15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8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0" fillId="3" borderId="0" xfId="17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15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0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0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17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19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0" fillId="3" borderId="0" xfId="19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6" fillId="8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6" fillId="9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5" fillId="2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2" borderId="0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6" fontId="8" fillId="1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6" fillId="10" borderId="1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6" fillId="10" borderId="1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6" fillId="10" borderId="1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6" fillId="1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6" fillId="1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6" fillId="10" borderId="14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6" fillId="10" borderId="1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6" fillId="10" borderId="1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6" fillId="10" borderId="16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6" fillId="10" borderId="17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6" fillId="10" borderId="18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6" fillId="10" borderId="9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6" fillId="10" borderId="19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6" fillId="10" borderId="10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6" fillId="10" borderId="15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6" fillId="10" borderId="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6" fillId="10" borderId="1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ercent 10" xfId="21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C9C9C9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22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46080</xdr:rowOff>
    </xdr:from>
    <xdr:to>
      <xdr:col>1</xdr:col>
      <xdr:colOff>1117800</xdr:colOff>
      <xdr:row>12</xdr:row>
      <xdr:rowOff>148320</xdr:rowOff>
    </xdr:to>
    <xdr:pic>
      <xdr:nvPicPr>
        <xdr:cNvPr id="0" name="Picture 1" descr=""/>
        <xdr:cNvPicPr/>
      </xdr:nvPicPr>
      <xdr:blipFill>
        <a:blip r:embed="rId1"/>
        <a:srcRect l="4096" t="17588" r="5670" b="20283"/>
        <a:stretch/>
      </xdr:blipFill>
      <xdr:spPr>
        <a:xfrm>
          <a:off x="0" y="1494000"/>
          <a:ext cx="1704600" cy="10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151560</xdr:colOff>
      <xdr:row>1</xdr:row>
      <xdr:rowOff>168480</xdr:rowOff>
    </xdr:from>
    <xdr:to>
      <xdr:col>0</xdr:col>
      <xdr:colOff>3746520</xdr:colOff>
      <xdr:row>5</xdr:row>
      <xdr:rowOff>150840</xdr:rowOff>
    </xdr:to>
    <xdr:pic>
      <xdr:nvPicPr>
        <xdr:cNvPr id="1" name="Picture 1" descr=""/>
        <xdr:cNvPicPr/>
      </xdr:nvPicPr>
      <xdr:blipFill>
        <a:blip r:embed="rId1"/>
        <a:srcRect l="4096" t="17588" r="5670" b="20283"/>
        <a:stretch/>
      </xdr:blipFill>
      <xdr:spPr>
        <a:xfrm>
          <a:off x="151560" y="349560"/>
          <a:ext cx="3594960" cy="1049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6480</xdr:colOff>
      <xdr:row>1</xdr:row>
      <xdr:rowOff>84600</xdr:rowOff>
    </xdr:from>
    <xdr:to>
      <xdr:col>2</xdr:col>
      <xdr:colOff>1440</xdr:colOff>
      <xdr:row>5</xdr:row>
      <xdr:rowOff>36360</xdr:rowOff>
    </xdr:to>
    <xdr:pic>
      <xdr:nvPicPr>
        <xdr:cNvPr id="2" name="Picture 1" descr=""/>
        <xdr:cNvPicPr/>
      </xdr:nvPicPr>
      <xdr:blipFill>
        <a:blip r:embed="rId1"/>
        <a:srcRect l="4096" t="17588" r="5670" b="20283"/>
        <a:stretch/>
      </xdr:blipFill>
      <xdr:spPr>
        <a:xfrm>
          <a:off x="6480" y="265680"/>
          <a:ext cx="3106440" cy="675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671875" defaultRowHeight="14.25" zeroHeight="true" outlineLevelRow="0" outlineLevelCol="0"/>
  <cols>
    <col collapsed="false" customWidth="true" hidden="false" outlineLevel="0" max="1" min="1" style="0" width="6.6"/>
    <col collapsed="false" customWidth="true" hidden="false" outlineLevel="0" max="2" min="2" style="0" width="94.86"/>
    <col collapsed="false" customWidth="false" hidden="true" outlineLevel="0" max="16383" min="3" style="0" width="8.86"/>
    <col collapsed="false" customWidth="true" hidden="true" outlineLevel="0" max="16384" min="16384" style="0" width="5.86"/>
  </cols>
  <sheetData>
    <row r="1" customFormat="false" ht="14.25" hidden="false" customHeight="false" outlineLevel="0" collapsed="false">
      <c r="A1" s="1" t="s">
        <v>0</v>
      </c>
      <c r="B1" s="1"/>
    </row>
    <row r="2" customFormat="false" ht="14.25" hidden="false" customHeight="false" outlineLevel="0" collapsed="false">
      <c r="A2" s="2" t="n">
        <v>1</v>
      </c>
      <c r="B2" s="3" t="s">
        <v>1</v>
      </c>
    </row>
    <row r="3" customFormat="false" ht="14.25" hidden="false" customHeight="false" outlineLevel="0" collapsed="false">
      <c r="A3" s="2" t="n">
        <v>2</v>
      </c>
      <c r="B3" s="3" t="s">
        <v>2</v>
      </c>
    </row>
    <row r="4" customFormat="false" ht="14.25" hidden="false" customHeight="false" outlineLevel="0" collapsed="false">
      <c r="A4" s="2" t="n">
        <v>3</v>
      </c>
      <c r="B4" s="3" t="s">
        <v>3</v>
      </c>
    </row>
    <row r="5" customFormat="false" ht="14.25" hidden="false" customHeight="false" outlineLevel="0" collapsed="false">
      <c r="A5" s="2" t="n">
        <v>4</v>
      </c>
      <c r="B5" s="3" t="s">
        <v>4</v>
      </c>
    </row>
    <row r="6" customFormat="false" ht="14.25" hidden="false" customHeight="false" outlineLevel="0" collapsed="false">
      <c r="A6" s="2" t="n">
        <v>5</v>
      </c>
      <c r="B6" s="3" t="s">
        <v>5</v>
      </c>
    </row>
    <row r="7" customFormat="false" ht="14.25" hidden="false" customHeight="false" outlineLevel="0" collapsed="false">
      <c r="A7" s="2" t="n">
        <v>6</v>
      </c>
      <c r="B7" s="3" t="s">
        <v>6</v>
      </c>
    </row>
    <row r="8" customFormat="false" ht="14.25" hidden="false" customHeight="false" outlineLevel="0" collapsed="false">
      <c r="A8" s="2" t="n">
        <v>7</v>
      </c>
      <c r="B8" s="3" t="s">
        <v>7</v>
      </c>
    </row>
    <row r="13" customFormat="false" ht="14.25" hidden="false" customHeight="false" outlineLevel="0" collapsed="false">
      <c r="B13" s="4" t="s">
        <v>8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8671875" defaultRowHeight="14.25" zeroHeight="true" outlineLevelRow="0" outlineLevelCol="0"/>
  <cols>
    <col collapsed="false" customWidth="true" hidden="false" outlineLevel="0" max="1" min="1" style="2" width="9.14"/>
    <col collapsed="false" customWidth="true" hidden="false" outlineLevel="0" max="2" min="2" style="0" width="125.6"/>
    <col collapsed="false" customWidth="true" hidden="false" outlineLevel="0" max="3" min="3" style="0" width="15.6"/>
    <col collapsed="false" customWidth="true" hidden="false" outlineLevel="0" max="4" min="4" style="0" width="21.6"/>
    <col collapsed="false" customWidth="true" hidden="false" outlineLevel="0" max="5" min="5" style="0" width="23.86"/>
    <col collapsed="false" customWidth="false" hidden="true" outlineLevel="0" max="16384" min="7" style="0" width="8.86"/>
  </cols>
  <sheetData>
    <row r="1" customFormat="false" ht="14.25" hidden="false" customHeight="true" outlineLevel="0" collapsed="false">
      <c r="A1" s="5"/>
      <c r="B1" s="6" t="s">
        <v>9</v>
      </c>
      <c r="C1" s="6" t="s">
        <v>10</v>
      </c>
      <c r="D1" s="6"/>
      <c r="E1" s="6"/>
    </row>
    <row r="2" customFormat="false" ht="14.25" hidden="false" customHeight="false" outlineLevel="0" collapsed="false">
      <c r="A2" s="2" t="n">
        <v>1</v>
      </c>
      <c r="B2" s="3" t="s">
        <v>11</v>
      </c>
      <c r="C2" s="7"/>
      <c r="D2" s="2"/>
      <c r="E2" s="2"/>
    </row>
    <row r="3" customFormat="false" ht="14.25" hidden="false" customHeight="false" outlineLevel="0" collapsed="false">
      <c r="A3" s="2" t="n">
        <v>2</v>
      </c>
      <c r="B3" s="3" t="s">
        <v>12</v>
      </c>
      <c r="C3" s="8"/>
      <c r="D3" s="2"/>
      <c r="E3" s="2"/>
    </row>
    <row r="4" customFormat="false" ht="28.5" hidden="false" customHeight="true" outlineLevel="0" collapsed="false">
      <c r="A4" s="9" t="n">
        <v>3</v>
      </c>
      <c r="B4" s="10" t="s">
        <v>13</v>
      </c>
      <c r="C4" s="8"/>
      <c r="D4" s="2"/>
      <c r="E4" s="2"/>
    </row>
    <row r="5" customFormat="false" ht="14.25" hidden="false" customHeight="false" outlineLevel="0" collapsed="false">
      <c r="A5" s="2" t="n">
        <v>4</v>
      </c>
      <c r="B5" s="3" t="s">
        <v>14</v>
      </c>
      <c r="C5" s="8"/>
      <c r="D5" s="2"/>
      <c r="E5" s="2"/>
    </row>
    <row r="6" customFormat="false" ht="14.25" hidden="false" customHeight="false" outlineLevel="0" collapsed="false">
      <c r="A6" s="2" t="n">
        <v>5</v>
      </c>
      <c r="B6" s="3" t="s">
        <v>15</v>
      </c>
      <c r="C6" s="8"/>
      <c r="D6" s="2"/>
      <c r="E6" s="2"/>
    </row>
    <row r="7" customFormat="false" ht="14.25" hidden="false" customHeight="false" outlineLevel="0" collapsed="false">
      <c r="A7" s="2" t="n">
        <v>6</v>
      </c>
      <c r="B7" s="3" t="s">
        <v>16</v>
      </c>
      <c r="C7" s="8"/>
      <c r="D7" s="2"/>
      <c r="E7" s="2"/>
    </row>
    <row r="8" customFormat="false" ht="14.25" hidden="false" customHeight="false" outlineLevel="0" collapsed="false">
      <c r="A8" s="2" t="n">
        <v>7</v>
      </c>
      <c r="B8" s="3" t="s">
        <v>17</v>
      </c>
      <c r="C8" s="8"/>
      <c r="D8" s="2"/>
      <c r="E8" s="2"/>
    </row>
    <row r="9" customFormat="false" ht="14.25" hidden="false" customHeight="false" outlineLevel="0" collapsed="false">
      <c r="A9" s="2" t="n">
        <v>8</v>
      </c>
      <c r="B9" s="3" t="s">
        <v>18</v>
      </c>
      <c r="C9" s="8"/>
      <c r="D9" s="2"/>
      <c r="E9" s="2"/>
    </row>
    <row r="10" customFormat="false" ht="14.25" hidden="false" customHeight="false" outlineLevel="0" collapsed="false">
      <c r="A10" s="2" t="n">
        <v>9</v>
      </c>
      <c r="B10" s="3" t="s">
        <v>19</v>
      </c>
      <c r="C10" s="8"/>
      <c r="D10" s="2"/>
      <c r="E10" s="2"/>
    </row>
    <row r="11" customFormat="false" ht="14.25" hidden="false" customHeight="false" outlineLevel="0" collapsed="false">
      <c r="A11" s="2" t="n">
        <v>10</v>
      </c>
      <c r="B11" s="3" t="s">
        <v>20</v>
      </c>
      <c r="C11" s="8"/>
      <c r="D11" s="2"/>
      <c r="E11" s="2"/>
    </row>
    <row r="12" customFormat="false" ht="14.25" hidden="false" customHeight="true" outlineLevel="0" collapsed="false">
      <c r="A12" s="2" t="n">
        <v>11</v>
      </c>
      <c r="B12" s="3" t="s">
        <v>21</v>
      </c>
      <c r="C12" s="11"/>
      <c r="D12" s="2"/>
      <c r="E12" s="2"/>
    </row>
    <row r="13" customFormat="false" ht="14.25" hidden="false" customHeight="false" outlineLevel="0" collapsed="false">
      <c r="C13" s="2"/>
      <c r="D13" s="2"/>
      <c r="E13" s="2"/>
    </row>
    <row r="14" customFormat="false" ht="14.25" hidden="false" customHeight="false" outlineLevel="0" collapsed="false">
      <c r="D14" s="12" t="s">
        <v>22</v>
      </c>
      <c r="E14" s="12"/>
    </row>
    <row r="15" customFormat="false" ht="14.25" hidden="false" customHeight="false" outlineLevel="0" collapsed="false">
      <c r="A15" s="5"/>
      <c r="B15" s="6" t="s">
        <v>23</v>
      </c>
      <c r="C15" s="6"/>
      <c r="D15" s="13" t="s">
        <v>24</v>
      </c>
      <c r="E15" s="13" t="s">
        <v>25</v>
      </c>
    </row>
    <row r="16" customFormat="false" ht="14.25" hidden="false" customHeight="false" outlineLevel="0" collapsed="false">
      <c r="A16" s="2" t="n">
        <v>1</v>
      </c>
      <c r="B16" s="3" t="s">
        <v>26</v>
      </c>
      <c r="C16" s="14" t="n">
        <v>3</v>
      </c>
      <c r="D16" s="3" t="s">
        <v>27</v>
      </c>
      <c r="E16" s="3" t="s">
        <v>28</v>
      </c>
    </row>
    <row r="17" customFormat="false" ht="14.25" hidden="false" customHeight="false" outlineLevel="0" collapsed="false">
      <c r="A17" s="2" t="n">
        <v>2</v>
      </c>
      <c r="B17" s="3" t="s">
        <v>29</v>
      </c>
      <c r="C17" s="14" t="n">
        <v>2</v>
      </c>
      <c r="D17" s="3" t="s">
        <v>30</v>
      </c>
      <c r="E17" s="3" t="s">
        <v>31</v>
      </c>
    </row>
    <row r="18" customFormat="false" ht="14.25" hidden="false" customHeight="false" outlineLevel="0" collapsed="false">
      <c r="A18" s="2" t="n">
        <v>3</v>
      </c>
      <c r="B18" s="3" t="s">
        <v>32</v>
      </c>
      <c r="C18" s="15" t="n">
        <f aca="false">Model!G39</f>
        <v>0.0801880758229667</v>
      </c>
      <c r="D18" s="16" t="s">
        <v>33</v>
      </c>
      <c r="E18" s="3" t="s">
        <v>34</v>
      </c>
    </row>
    <row r="19" customFormat="false" ht="14.25" hidden="false" customHeight="false" outlineLevel="0" collapsed="false">
      <c r="A19" s="2" t="n">
        <v>4</v>
      </c>
      <c r="B19" s="3" t="s">
        <v>35</v>
      </c>
      <c r="C19" s="17" t="n">
        <f aca="false">Model!L39</f>
        <v>4</v>
      </c>
      <c r="D19" s="3" t="s">
        <v>36</v>
      </c>
      <c r="E19" s="3" t="s">
        <v>37</v>
      </c>
    </row>
    <row r="20" customFormat="false" ht="14.25" hidden="false" customHeight="false" outlineLevel="0" collapsed="false">
      <c r="A20" s="2" t="n">
        <v>5</v>
      </c>
      <c r="B20" s="3" t="s">
        <v>38</v>
      </c>
      <c r="C20" s="18" t="n">
        <f aca="false">Model!I69</f>
        <v>0.850000000000001</v>
      </c>
      <c r="D20" s="3" t="s">
        <v>39</v>
      </c>
      <c r="E20" s="3" t="s">
        <v>40</v>
      </c>
    </row>
    <row r="21" customFormat="false" ht="14.25" hidden="false" customHeight="false" outlineLevel="0" collapsed="false">
      <c r="A21" s="2" t="n">
        <v>6</v>
      </c>
      <c r="B21" s="3" t="s">
        <v>41</v>
      </c>
      <c r="C21" s="15" t="n">
        <f aca="false">Model!J37</f>
        <v>-0.0837030622666666</v>
      </c>
      <c r="D21" s="3" t="s">
        <v>42</v>
      </c>
      <c r="E21" s="3" t="s">
        <v>43</v>
      </c>
    </row>
    <row r="22" customFormat="false" ht="14.25" hidden="false" customHeight="false" outlineLevel="0" collapsed="false">
      <c r="A22" s="2" t="n">
        <v>7</v>
      </c>
      <c r="B22" s="3" t="s">
        <v>44</v>
      </c>
      <c r="C22" s="15" t="n">
        <f aca="false">Assumptions!C13</f>
        <v>0.3</v>
      </c>
      <c r="D22" s="3" t="s">
        <v>45</v>
      </c>
      <c r="E22" s="3" t="s">
        <v>46</v>
      </c>
    </row>
    <row r="23" customFormat="false" ht="14.25" hidden="false" customHeight="false" outlineLevel="0" collapsed="false">
      <c r="A23" s="2" t="n">
        <v>8</v>
      </c>
      <c r="B23" s="3" t="s">
        <v>47</v>
      </c>
      <c r="C23" s="15" t="n">
        <f aca="false">Assumptions!C14</f>
        <v>0.08</v>
      </c>
      <c r="D23" s="3" t="s">
        <v>48</v>
      </c>
      <c r="E23" s="3" t="s">
        <v>49</v>
      </c>
    </row>
    <row r="24" customFormat="false" ht="14.25" hidden="false" customHeight="false" outlineLevel="0" collapsed="false">
      <c r="A24" s="2" t="n">
        <v>9</v>
      </c>
      <c r="B24" s="3" t="s">
        <v>50</v>
      </c>
      <c r="C24" s="15" t="n">
        <f aca="false">Assumptions!F25</f>
        <v>1.08309914933837</v>
      </c>
      <c r="D24" s="3" t="s">
        <v>51</v>
      </c>
      <c r="E24" s="3" t="s">
        <v>52</v>
      </c>
    </row>
    <row r="25" customFormat="false" ht="14.25" hidden="false" customHeight="false" outlineLevel="0" collapsed="false">
      <c r="A25" s="2" t="n">
        <v>10</v>
      </c>
      <c r="B25" s="3" t="s">
        <v>53</v>
      </c>
      <c r="C25" s="15" t="n">
        <f aca="false">Assumptions!C17</f>
        <v>0.02</v>
      </c>
      <c r="D25" s="3" t="s">
        <v>54</v>
      </c>
      <c r="E25" s="3" t="s">
        <v>55</v>
      </c>
    </row>
  </sheetData>
  <sheetProtection sheet="true" objects="true" scenarios="true"/>
  <mergeCells count="1">
    <mergeCell ref="D14:E14"/>
  </mergeCells>
  <conditionalFormatting sqref="C19:C20">
    <cfRule type="cellIs" priority="2" operator="lessThan" aboveAverage="0" equalAverage="0" bottom="0" percent="0" rank="0" text="" dxfId="0">
      <formula>0</formula>
    </cfRule>
  </conditionalFormatting>
  <conditionalFormatting sqref="C17">
    <cfRule type="cellIs" priority="3" operator="greaterThan" aboveAverage="0" equalAverage="0" bottom="0" percent="0" rank="0" text="" dxfId="0">
      <formula>2</formula>
    </cfRule>
    <cfRule type="cellIs" priority="4" operator="lessThan" aboveAverage="0" equalAverage="0" bottom="0" percent="0" rank="0" text="" dxfId="1">
      <formula>3</formula>
    </cfRule>
  </conditionalFormatting>
  <conditionalFormatting sqref="C16">
    <cfRule type="cellIs" priority="5" operator="greaterThan" aboveAverage="0" equalAverage="0" bottom="0" percent="0" rank="0" text="" dxfId="0">
      <formula>3</formula>
    </cfRule>
    <cfRule type="cellIs" priority="6" operator="lessThan" aboveAverage="0" equalAverage="0" bottom="0" percent="0" rank="0" text="" dxfId="1">
      <formula>4</formula>
    </cfRule>
  </conditionalFormatting>
  <conditionalFormatting sqref="C25">
    <cfRule type="cellIs" priority="7" operator="greaterThan" aboveAverage="0" equalAverage="0" bottom="0" percent="0" rank="0" text="" dxfId="0">
      <formula>0.0401</formula>
    </cfRule>
    <cfRule type="cellIs" priority="8" operator="lessThan" aboveAverage="0" equalAverage="0" bottom="0" percent="0" rank="0" text="" dxfId="1">
      <formula>0.04</formula>
    </cfRule>
  </conditionalFormatting>
  <conditionalFormatting sqref="C24">
    <cfRule type="cellIs" priority="9" operator="lessThan" aboveAverage="0" equalAverage="0" bottom="0" percent="0" rank="0" text="" dxfId="0">
      <formula>1</formula>
    </cfRule>
    <cfRule type="cellIs" priority="10" operator="greaterThan" aboveAverage="0" equalAverage="0" bottom="0" percent="0" rank="0" text="" dxfId="1">
      <formula>1</formula>
    </cfRule>
  </conditionalFormatting>
  <conditionalFormatting sqref="C23">
    <cfRule type="cellIs" priority="11" operator="greaterThan" aboveAverage="0" equalAverage="0" bottom="0" percent="0" rank="0" text="" dxfId="0">
      <formula>0.1201</formula>
    </cfRule>
    <cfRule type="cellIs" priority="12" operator="lessThan" aboveAverage="0" equalAverage="0" bottom="0" percent="0" rank="0" text="" dxfId="1">
      <formula>0.12</formula>
    </cfRule>
  </conditionalFormatting>
  <conditionalFormatting sqref="C18">
    <cfRule type="cellIs" priority="13" operator="lessThan" aboveAverage="0" equalAverage="0" bottom="0" percent="0" rank="0" text="" dxfId="0">
      <formula>0.06</formula>
    </cfRule>
    <cfRule type="cellIs" priority="14" operator="greaterThan" aboveAverage="0" equalAverage="0" bottom="0" percent="0" rank="0" text="" dxfId="1">
      <formula>0.0599</formula>
    </cfRule>
  </conditionalFormatting>
  <conditionalFormatting sqref="C22">
    <cfRule type="cellIs" priority="15" operator="greaterThan" aboveAverage="0" equalAverage="0" bottom="0" percent="0" rank="0" text="" dxfId="0">
      <formula>0.4001</formula>
    </cfRule>
    <cfRule type="cellIs" priority="16" operator="lessThan" aboveAverage="0" equalAverage="0" bottom="0" percent="0" rank="0" text="" dxfId="1">
      <formula>0.4</formula>
    </cfRule>
  </conditionalFormatting>
  <conditionalFormatting sqref="C21">
    <cfRule type="cellIs" priority="17" operator="lessThan" aboveAverage="0" equalAverage="0" bottom="0" percent="0" rank="0" text="" dxfId="0">
      <formula>-10%</formula>
    </cfRule>
    <cfRule type="cellIs" priority="18" operator="greaterThanOrEqual" aboveAverage="0" equalAverage="0" bottom="0" percent="0" rank="0" text="" dxfId="1">
      <formula>-10%</formula>
    </cfRule>
  </conditionalFormatting>
  <conditionalFormatting sqref="C20">
    <cfRule type="cellIs" priority="19" operator="greaterThanOrEqual" aboveAverage="0" equalAverage="0" bottom="0" percent="0" rank="0" text="" dxfId="1">
      <formula>0</formula>
    </cfRule>
  </conditionalFormatting>
  <conditionalFormatting sqref="C19">
    <cfRule type="cellIs" priority="20" operator="greaterThan" aboveAverage="0" equalAverage="0" bottom="0" percent="0" rank="0" text="" dxfId="0">
      <formula>5</formula>
    </cfRule>
    <cfRule type="cellIs" priority="21" operator="lessThan" aboveAverage="0" equalAverage="0" bottom="0" percent="0" rank="0" text="" dxfId="1">
      <formula>5</formula>
    </cfRule>
  </conditionalFormatting>
  <printOptions headings="false" gridLines="false" gridLinesSet="true" horizontalCentered="false" verticalCentered="false"/>
  <pageMargins left="0.2" right="0.2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B7" activeCellId="0" sqref="B7"/>
    </sheetView>
  </sheetViews>
  <sheetFormatPr defaultColWidth="8.8671875" defaultRowHeight="12.8" zeroHeight="true" outlineLevelRow="0" outlineLevelCol="0"/>
  <cols>
    <col collapsed="false" customWidth="true" hidden="false" outlineLevel="0" max="1" min="1" style="3" width="64.14"/>
    <col collapsed="false" customWidth="true" hidden="false" outlineLevel="0" max="2" min="2" style="3" width="29"/>
    <col collapsed="false" customWidth="true" hidden="false" outlineLevel="0" max="3" min="3" style="2" width="10.14"/>
    <col collapsed="false" customWidth="true" hidden="false" outlineLevel="0" max="5" min="4" style="3" width="29"/>
    <col collapsed="false" customWidth="true" hidden="false" outlineLevel="0" max="6" min="6" style="3" width="4.86"/>
    <col collapsed="false" customWidth="true" hidden="false" outlineLevel="0" max="7" min="7" style="3" width="24.6"/>
    <col collapsed="false" customWidth="true" hidden="false" outlineLevel="0" max="8" min="8" style="3" width="2"/>
    <col collapsed="false" customWidth="true" hidden="false" outlineLevel="0" max="9" min="9" style="3" width="34"/>
    <col collapsed="false" customWidth="true" hidden="false" outlineLevel="0" max="10" min="10" style="3" width="15"/>
    <col collapsed="false" customWidth="true" hidden="false" outlineLevel="0" max="11" min="11" style="3" width="2"/>
    <col collapsed="false" customWidth="false" hidden="true" outlineLevel="0" max="18" min="12" style="3" width="8.86"/>
    <col collapsed="false" customWidth="true" hidden="true" outlineLevel="0" max="19" min="19" style="3" width="40.6"/>
    <col collapsed="false" customWidth="true" hidden="true" outlineLevel="0" max="22" min="20" style="3" width="22.4"/>
    <col collapsed="false" customWidth="true" hidden="true" outlineLevel="0" max="23" min="23" style="3" width="19.6"/>
    <col collapsed="false" customWidth="true" hidden="true" outlineLevel="0" max="24" min="24" style="3" width="12"/>
    <col collapsed="false" customWidth="true" hidden="true" outlineLevel="0" max="25" min="25" style="3" width="16.6"/>
    <col collapsed="false" customWidth="false" hidden="true" outlineLevel="0" max="30" min="26" style="3" width="8.86"/>
    <col collapsed="false" customWidth="true" hidden="true" outlineLevel="0" max="33" min="31" style="3" width="22.4"/>
    <col collapsed="false" customWidth="true" hidden="true" outlineLevel="0" max="34" min="34" style="3" width="19.6"/>
    <col collapsed="false" customWidth="true" hidden="true" outlineLevel="0" max="35" min="35" style="3" width="12"/>
    <col collapsed="false" customWidth="true" hidden="true" outlineLevel="0" max="36" min="36" style="3" width="16.6"/>
    <col collapsed="false" customWidth="false" hidden="true" outlineLevel="0" max="16384" min="37" style="3" width="8.86"/>
  </cols>
  <sheetData>
    <row r="1" customFormat="false" ht="14.25" hidden="false" customHeight="true" outlineLevel="0" collapsed="false">
      <c r="I1" s="19" t="s">
        <v>56</v>
      </c>
    </row>
    <row r="2" customFormat="false" ht="21" hidden="false" customHeight="true" outlineLevel="0" collapsed="false">
      <c r="B2" s="20" t="str">
        <f aca="false">"Total Transaction Value: "&amp;TEXT(Assumptions!$C$25*D36/1000000,"$0.0")&amp;" million"</f>
        <v>Total Transaction Value: $57.3 million</v>
      </c>
      <c r="D2" s="19"/>
      <c r="E2" s="20" t="str">
        <f aca="false">"TBVS Dilution: "&amp;TEXT(I37,"$0.00")&amp;" or "&amp;TEXT(J37,"0.0%")</f>
        <v>TBVS Dilution: -$3.37 or -8.4%</v>
      </c>
      <c r="I2" s="21" t="str">
        <f aca="false">IF(J37&lt;-10%,"Issue: Too Much TBVS Dilution","")</f>
        <v/>
      </c>
    </row>
    <row r="3" customFormat="false" ht="21" hidden="false" customHeight="true" outlineLevel="0" collapsed="false">
      <c r="B3" s="20" t="str">
        <f aca="false">"P/TBVS = "&amp;TEXT(Assumptions!$F$25,"0.0%")</f>
        <v>P/TBVS = 108.3%</v>
      </c>
      <c r="D3" s="19"/>
      <c r="E3" s="20" t="str">
        <f aca="false">"Cash EPS Accretion: "&amp;TEXT(I69,"$0.00")&amp;" or "&amp;TEXT(J69,"0.0%")</f>
        <v>Cash EPS Accretion: $0.85 or 25.4%</v>
      </c>
      <c r="I3" s="22" t="str">
        <f aca="false">IF(G69&lt;B69,"Issue: Not Immediately Accretive","")</f>
        <v/>
      </c>
    </row>
    <row r="4" customFormat="false" ht="21" hidden="false" customHeight="true" outlineLevel="0" collapsed="false">
      <c r="B4" s="20" t="str">
        <f aca="false">"P/EPS = "&amp;TEXT(Assumptions!$H$25,"0.0")</f>
        <v>P/EPS = 24.8</v>
      </c>
      <c r="D4" s="19"/>
      <c r="E4" s="23" t="str">
        <f aca="false">"TBVS Workback: "&amp;TEXT(I38,"$0.00")</f>
        <v>TBVS Workback: 4 Years</v>
      </c>
      <c r="I4" s="24" t="str">
        <f aca="false">IF(I37&gt;0,"",IF(ROUND(I37*-1/I69,1)&gt;5,"Issue: Work Back Too Long",IF(ROUND(I37*-1/I69,1)&lt;0,"Potential Issue: Negative Workback","")))</f>
        <v/>
      </c>
    </row>
    <row r="5" customFormat="false" ht="21" hidden="false" customHeight="true" outlineLevel="0" collapsed="false">
      <c r="B5" s="20" t="str">
        <f aca="false">"P/MVS = "&amp;TEXT(Assumptions!$F$26,"0.0%")</f>
        <v>P/MVS = 124.7%</v>
      </c>
      <c r="D5" s="19"/>
      <c r="E5" s="20" t="str">
        <f aca="false">"Cost Savings: "&amp;TEXT(-E51,"$0.0")&amp;" million or "&amp;TEXT(Assumptions!$C$13,"0.0%")</f>
        <v>Cost Savings: $6.2 million or 30.0%</v>
      </c>
    </row>
    <row r="6" customFormat="false" ht="21" hidden="false" customHeight="true" outlineLevel="0" collapsed="false">
      <c r="B6" s="20" t="str">
        <f aca="false">TEXT(Assumptions!$C$11,"0.0%")&amp;" Stock / "&amp;TEXT(Assumptions!$C$12,"0.0%")&amp;" Cash"</f>
        <v>100.0% Stock / 0.0% Cash</v>
      </c>
      <c r="D6" s="19"/>
      <c r="E6" s="20" t="str">
        <f aca="false">"Deal Expenses: "&amp;TEXT(-Assumptions!D43-Assumptions!E43,"$0.0")&amp;" million or "&amp;TEXT(Assumptions!$C$14,"0.0%")</f>
        <v>Deal Expenses: $4.6 million or 8.0%</v>
      </c>
    </row>
    <row r="7" customFormat="false" ht="41.25" hidden="false" customHeight="true" outlineLevel="0" collapsed="false">
      <c r="A7" s="25" t="s">
        <v>8</v>
      </c>
      <c r="B7" s="26" t="s">
        <v>57</v>
      </c>
      <c r="C7" s="27"/>
      <c r="D7" s="26" t="s">
        <v>58</v>
      </c>
      <c r="E7" s="28" t="s">
        <v>59</v>
      </c>
      <c r="F7" s="27"/>
      <c r="G7" s="28" t="s">
        <v>60</v>
      </c>
      <c r="H7" s="29"/>
      <c r="I7" s="30"/>
      <c r="J7" s="29"/>
    </row>
    <row r="8" s="34" customFormat="true" ht="28.5" hidden="false" customHeight="true" outlineLevel="0" collapsed="false">
      <c r="A8" s="31" t="s">
        <v>61</v>
      </c>
      <c r="B8" s="31"/>
      <c r="C8" s="32" t="s">
        <v>62</v>
      </c>
      <c r="D8" s="33"/>
      <c r="E8" s="33"/>
      <c r="G8" s="31"/>
    </row>
    <row r="9" customFormat="false" ht="20.25" hidden="false" customHeight="true" outlineLevel="0" collapsed="false">
      <c r="A9" s="35" t="s">
        <v>63</v>
      </c>
      <c r="B9" s="36" t="n">
        <v>49.8</v>
      </c>
      <c r="C9" s="37" t="s">
        <v>64</v>
      </c>
      <c r="D9" s="36" t="n">
        <v>42.2</v>
      </c>
      <c r="E9" s="38" t="n">
        <f aca="false">Assumptions!H43</f>
        <v>-4.5836756</v>
      </c>
      <c r="F9" s="39"/>
      <c r="G9" s="38" t="n">
        <f aca="false">SUM(B9:F9)</f>
        <v>87.4163244</v>
      </c>
      <c r="I9" s="40"/>
      <c r="J9" s="40"/>
    </row>
    <row r="10" customFormat="false" ht="20.25" hidden="false" customHeight="true" outlineLevel="0" collapsed="false">
      <c r="A10" s="35" t="s">
        <v>65</v>
      </c>
      <c r="B10" s="36" t="n">
        <v>21.7</v>
      </c>
      <c r="C10" s="37" t="s">
        <v>64</v>
      </c>
      <c r="D10" s="36" t="n">
        <v>0</v>
      </c>
      <c r="E10" s="38" t="n">
        <f aca="false">Assumptions!H44</f>
        <v>0</v>
      </c>
      <c r="F10" s="39"/>
      <c r="G10" s="38" t="n">
        <f aca="false">SUM(B10:F10)</f>
        <v>21.7</v>
      </c>
      <c r="I10" s="40"/>
      <c r="J10" s="40"/>
    </row>
    <row r="11" customFormat="false" ht="20.25" hidden="false" customHeight="true" outlineLevel="0" collapsed="false">
      <c r="A11" s="35" t="s">
        <v>66</v>
      </c>
      <c r="B11" s="36" t="n">
        <v>45</v>
      </c>
      <c r="C11" s="37" t="s">
        <v>64</v>
      </c>
      <c r="D11" s="36" t="n">
        <v>63.5</v>
      </c>
      <c r="E11" s="38" t="n">
        <f aca="false">Assumptions!H45</f>
        <v>0</v>
      </c>
      <c r="F11" s="39"/>
      <c r="G11" s="38" t="n">
        <f aca="false">SUM(B11:F11)</f>
        <v>108.5</v>
      </c>
      <c r="I11" s="40"/>
      <c r="J11" s="40"/>
    </row>
    <row r="12" customFormat="false" ht="20.25" hidden="false" customHeight="true" outlineLevel="0" collapsed="false">
      <c r="A12" s="41" t="s">
        <v>67</v>
      </c>
      <c r="B12" s="42" t="n">
        <f aca="false">B14-B13</f>
        <v>670.8</v>
      </c>
      <c r="C12" s="2" t="s">
        <v>68</v>
      </c>
      <c r="D12" s="42" t="n">
        <f aca="false">D14-D13</f>
        <v>550</v>
      </c>
      <c r="E12" s="38" t="n">
        <f aca="false">Assumptions!H46</f>
        <v>-9.3</v>
      </c>
      <c r="F12" s="39"/>
      <c r="G12" s="38" t="n">
        <f aca="false">SUM(B12:F12)</f>
        <v>1211.5</v>
      </c>
      <c r="I12" s="40"/>
      <c r="J12" s="40"/>
    </row>
    <row r="13" customFormat="false" ht="20.25" hidden="false" customHeight="true" outlineLevel="0" collapsed="false">
      <c r="A13" s="41" t="s">
        <v>69</v>
      </c>
      <c r="B13" s="43" t="n">
        <v>-7.6</v>
      </c>
      <c r="C13" s="37" t="s">
        <v>70</v>
      </c>
      <c r="D13" s="43" t="n">
        <v>-6.2</v>
      </c>
      <c r="E13" s="44" t="n">
        <f aca="false">Assumptions!H47</f>
        <v>6.2</v>
      </c>
      <c r="F13" s="39"/>
      <c r="G13" s="44" t="n">
        <f aca="false">SUM(B13:F13)</f>
        <v>-7.6</v>
      </c>
      <c r="I13" s="40"/>
      <c r="J13" s="40"/>
    </row>
    <row r="14" customFormat="false" ht="20.25" hidden="false" customHeight="true" outlineLevel="0" collapsed="false">
      <c r="A14" s="35" t="s">
        <v>71</v>
      </c>
      <c r="B14" s="36" t="n">
        <v>663.2</v>
      </c>
      <c r="C14" s="37" t="s">
        <v>64</v>
      </c>
      <c r="D14" s="36" t="n">
        <v>543.8</v>
      </c>
      <c r="E14" s="38" t="n">
        <f aca="false">Assumptions!H48</f>
        <v>-3.1</v>
      </c>
      <c r="F14" s="39"/>
      <c r="G14" s="38" t="n">
        <f aca="false">SUM(B14:F14)</f>
        <v>1203.9</v>
      </c>
      <c r="I14" s="40"/>
      <c r="J14" s="45"/>
      <c r="K14" s="45"/>
    </row>
    <row r="15" customFormat="false" ht="20.25" hidden="false" customHeight="true" outlineLevel="0" collapsed="false">
      <c r="A15" s="35" t="s">
        <v>72</v>
      </c>
      <c r="B15" s="36" t="n">
        <v>5.3</v>
      </c>
      <c r="C15" s="37" t="s">
        <v>64</v>
      </c>
      <c r="D15" s="36" t="n">
        <v>5.1</v>
      </c>
      <c r="E15" s="38" t="n">
        <f aca="false">Assumptions!H49</f>
        <v>0</v>
      </c>
      <c r="F15" s="39"/>
      <c r="G15" s="38" t="n">
        <f aca="false">SUM(B15:F15)</f>
        <v>10.4</v>
      </c>
      <c r="I15" s="40"/>
      <c r="J15" s="40"/>
      <c r="K15" s="40"/>
    </row>
    <row r="16" customFormat="false" ht="20.25" hidden="false" customHeight="true" outlineLevel="0" collapsed="false">
      <c r="A16" s="35" t="s">
        <v>73</v>
      </c>
      <c r="B16" s="36" t="n">
        <v>33</v>
      </c>
      <c r="C16" s="37" t="s">
        <v>64</v>
      </c>
      <c r="D16" s="36" t="n">
        <v>29.7</v>
      </c>
      <c r="E16" s="44" t="n">
        <f aca="false">Assumptions!H50</f>
        <v>-0.38909959284</v>
      </c>
      <c r="F16" s="39"/>
      <c r="G16" s="44" t="n">
        <f aca="false">SUM(B16:F16)</f>
        <v>62.31090040716</v>
      </c>
      <c r="I16" s="40"/>
      <c r="J16" s="40"/>
      <c r="K16" s="40"/>
    </row>
    <row r="17" customFormat="false" ht="20.25" hidden="false" customHeight="true" outlineLevel="0" collapsed="false">
      <c r="A17" s="35" t="s">
        <v>74</v>
      </c>
      <c r="B17" s="46" t="n">
        <v>0</v>
      </c>
      <c r="C17" s="2" t="s">
        <v>68</v>
      </c>
      <c r="D17" s="46" t="n">
        <v>0</v>
      </c>
      <c r="E17" s="38" t="n">
        <f aca="false">Assumptions!H51</f>
        <v>6.71741110682001</v>
      </c>
      <c r="F17" s="39"/>
      <c r="G17" s="38" t="n">
        <f aca="false">SUM(B17:F17)</f>
        <v>6.71741110682001</v>
      </c>
      <c r="I17" s="47"/>
      <c r="J17" s="47"/>
      <c r="K17" s="47"/>
    </row>
    <row r="18" customFormat="false" ht="20.25" hidden="false" customHeight="true" outlineLevel="0" collapsed="false">
      <c r="A18" s="48" t="s">
        <v>75</v>
      </c>
      <c r="B18" s="49" t="n">
        <f aca="false">SUM(B9:B11)+SUM(B14:B17)</f>
        <v>818</v>
      </c>
      <c r="C18" s="2" t="s">
        <v>68</v>
      </c>
      <c r="D18" s="49" t="n">
        <f aca="false">SUM(D9:D11)+SUM(D14:D17)</f>
        <v>684.3</v>
      </c>
      <c r="E18" s="49" t="n">
        <f aca="false">SUM(E9:E11)+SUM(E14:E17)</f>
        <v>-1.35536408601999</v>
      </c>
      <c r="F18" s="50"/>
      <c r="G18" s="49" t="n">
        <f aca="false">SUM(B18:F18)</f>
        <v>1500.94463591398</v>
      </c>
    </row>
    <row r="19" customFormat="false" ht="20.25" hidden="false" customHeight="true" outlineLevel="0" collapsed="false">
      <c r="A19" s="35"/>
      <c r="B19" s="46"/>
      <c r="C19" s="51"/>
      <c r="D19" s="46"/>
      <c r="E19" s="46"/>
      <c r="F19" s="39"/>
      <c r="G19" s="46"/>
    </row>
    <row r="20" s="45" customFormat="true" ht="20.25" hidden="false" customHeight="true" outlineLevel="0" collapsed="false">
      <c r="A20" s="35" t="s">
        <v>76</v>
      </c>
      <c r="B20" s="42" t="n">
        <f aca="false">B22-B21</f>
        <v>542.8</v>
      </c>
      <c r="C20" s="2" t="s">
        <v>68</v>
      </c>
      <c r="D20" s="42" t="n">
        <f aca="false">D22-D21</f>
        <v>456.2</v>
      </c>
      <c r="E20" s="38" t="n">
        <f aca="false">Assumptions!H54</f>
        <v>0</v>
      </c>
      <c r="F20" s="39"/>
      <c r="G20" s="38" t="n">
        <f aca="false">SUM(B20:F20)</f>
        <v>999</v>
      </c>
      <c r="H20" s="3"/>
      <c r="I20" s="40"/>
    </row>
    <row r="21" s="45" customFormat="true" ht="20.25" hidden="false" customHeight="true" outlineLevel="0" collapsed="false">
      <c r="A21" s="35" t="s">
        <v>77</v>
      </c>
      <c r="B21" s="52" t="n">
        <v>115.2</v>
      </c>
      <c r="C21" s="51" t="s">
        <v>64</v>
      </c>
      <c r="D21" s="52" t="n">
        <v>119.2</v>
      </c>
      <c r="E21" s="38" t="n">
        <f aca="false">Assumptions!H55</f>
        <v>0</v>
      </c>
      <c r="F21" s="39"/>
      <c r="G21" s="38" t="n">
        <f aca="false">SUM(B21:F21)</f>
        <v>234.4</v>
      </c>
      <c r="H21" s="3"/>
      <c r="I21" s="40"/>
    </row>
    <row r="22" s="45" customFormat="true" ht="20.25" hidden="false" customHeight="true" outlineLevel="0" collapsed="false">
      <c r="A22" s="35" t="s">
        <v>78</v>
      </c>
      <c r="B22" s="36" t="n">
        <v>658</v>
      </c>
      <c r="C22" s="51" t="s">
        <v>64</v>
      </c>
      <c r="D22" s="36" t="n">
        <v>575.4</v>
      </c>
      <c r="E22" s="38" t="n">
        <f aca="false">Assumptions!H56</f>
        <v>0</v>
      </c>
      <c r="F22" s="39"/>
      <c r="G22" s="38" t="n">
        <f aca="false">SUM(B22:F22)</f>
        <v>1233.4</v>
      </c>
      <c r="H22" s="3"/>
      <c r="I22" s="40"/>
    </row>
    <row r="23" s="45" customFormat="true" ht="20.25" hidden="false" customHeight="true" outlineLevel="0" collapsed="false">
      <c r="A23" s="35" t="s">
        <v>79</v>
      </c>
      <c r="B23" s="36" t="n">
        <v>50</v>
      </c>
      <c r="C23" s="51" t="s">
        <v>64</v>
      </c>
      <c r="D23" s="36" t="n">
        <v>30.1</v>
      </c>
      <c r="E23" s="38" t="n">
        <f aca="false">Assumptions!H57</f>
        <v>0</v>
      </c>
      <c r="F23" s="39"/>
      <c r="G23" s="38" t="n">
        <f aca="false">SUM(B23:F23)</f>
        <v>80.1</v>
      </c>
      <c r="H23" s="3"/>
      <c r="I23" s="40"/>
    </row>
    <row r="24" s="45" customFormat="true" ht="20.25" hidden="false" customHeight="true" outlineLevel="0" collapsed="false">
      <c r="A24" s="35" t="s">
        <v>80</v>
      </c>
      <c r="B24" s="36" t="n">
        <v>30</v>
      </c>
      <c r="C24" s="51" t="s">
        <v>64</v>
      </c>
      <c r="D24" s="36" t="n">
        <v>26</v>
      </c>
      <c r="E24" s="38" t="n">
        <f aca="false">Assumptions!H58</f>
        <v>0</v>
      </c>
      <c r="F24" s="39"/>
      <c r="G24" s="38" t="n">
        <f aca="false">SUM(B24:F24)</f>
        <v>56</v>
      </c>
      <c r="H24" s="3"/>
      <c r="I24" s="40"/>
    </row>
    <row r="25" s="45" customFormat="true" ht="20.25" hidden="false" customHeight="true" outlineLevel="0" collapsed="false">
      <c r="A25" s="35" t="s">
        <v>81</v>
      </c>
      <c r="B25" s="36" t="n">
        <v>0</v>
      </c>
      <c r="C25" s="51" t="s">
        <v>64</v>
      </c>
      <c r="D25" s="36" t="n">
        <v>0</v>
      </c>
      <c r="E25" s="38" t="n">
        <f aca="false">Assumptions!H59</f>
        <v>0</v>
      </c>
      <c r="F25" s="39"/>
      <c r="G25" s="38" t="n">
        <f aca="false">SUM(B25:F25)</f>
        <v>0</v>
      </c>
      <c r="H25" s="3"/>
      <c r="I25" s="40"/>
    </row>
    <row r="26" s="45" customFormat="true" ht="20.25" hidden="false" customHeight="true" outlineLevel="0" collapsed="false">
      <c r="A26" s="35" t="s">
        <v>82</v>
      </c>
      <c r="B26" s="52" t="n">
        <v>5</v>
      </c>
      <c r="C26" s="51" t="s">
        <v>64</v>
      </c>
      <c r="D26" s="52" t="n">
        <v>0</v>
      </c>
      <c r="E26" s="44" t="n">
        <f aca="false">Assumptions!H60</f>
        <v>0</v>
      </c>
      <c r="F26" s="39"/>
      <c r="G26" s="44" t="n">
        <f aca="false">SUM(B26:F26)</f>
        <v>5</v>
      </c>
      <c r="H26" s="3"/>
      <c r="I26" s="40"/>
    </row>
    <row r="27" customFormat="false" ht="20.25" hidden="false" customHeight="true" outlineLevel="0" collapsed="false">
      <c r="A27" s="48" t="s">
        <v>83</v>
      </c>
      <c r="B27" s="53" t="n">
        <f aca="false">SUM(B22:B26)</f>
        <v>743</v>
      </c>
      <c r="C27" s="2" t="s">
        <v>68</v>
      </c>
      <c r="D27" s="53" t="n">
        <f aca="false">SUM(D22:D26)</f>
        <v>631.5</v>
      </c>
      <c r="E27" s="53" t="n">
        <f aca="false">SUM(E22:E26)</f>
        <v>0</v>
      </c>
      <c r="F27" s="50"/>
      <c r="G27" s="53" t="n">
        <f aca="false">SUM(B27:F27)</f>
        <v>1374.5</v>
      </c>
    </row>
    <row r="28" customFormat="false" ht="20.25" hidden="false" customHeight="true" outlineLevel="0" collapsed="false">
      <c r="A28" s="35"/>
      <c r="B28" s="46"/>
      <c r="C28" s="51"/>
      <c r="D28" s="46"/>
      <c r="E28" s="46"/>
      <c r="F28" s="39"/>
      <c r="G28" s="46"/>
    </row>
    <row r="29" customFormat="false" ht="20.25" hidden="false" customHeight="true" outlineLevel="0" collapsed="false">
      <c r="A29" s="35" t="s">
        <v>84</v>
      </c>
      <c r="B29" s="36" t="n">
        <v>75</v>
      </c>
      <c r="C29" s="51" t="s">
        <v>64</v>
      </c>
      <c r="D29" s="36" t="n">
        <v>52.9</v>
      </c>
      <c r="E29" s="38" t="n">
        <f aca="false">Assumptions!H63</f>
        <v>-1.35536408601999</v>
      </c>
      <c r="F29" s="39"/>
      <c r="G29" s="38" t="n">
        <f aca="false">SUM(B29:F29)</f>
        <v>126.54463591398</v>
      </c>
      <c r="I29" s="40"/>
      <c r="J29" s="45"/>
    </row>
    <row r="30" customFormat="false" ht="20.25" hidden="false" customHeight="true" outlineLevel="0" collapsed="false">
      <c r="A30" s="48" t="s">
        <v>85</v>
      </c>
      <c r="B30" s="49" t="n">
        <f aca="false">B29</f>
        <v>75</v>
      </c>
      <c r="C30" s="2" t="s">
        <v>68</v>
      </c>
      <c r="D30" s="49" t="n">
        <f aca="false">D29</f>
        <v>52.9</v>
      </c>
      <c r="E30" s="49" t="n">
        <f aca="false">E29</f>
        <v>-1.35536408601999</v>
      </c>
      <c r="F30" s="50"/>
      <c r="G30" s="49" t="n">
        <f aca="false">SUM(B30:F30)</f>
        <v>126.54463591398</v>
      </c>
    </row>
    <row r="31" customFormat="false" ht="20.25" hidden="false" customHeight="true" outlineLevel="0" collapsed="false">
      <c r="A31" s="35"/>
      <c r="B31" s="46"/>
      <c r="C31" s="51"/>
      <c r="D31" s="46"/>
      <c r="E31" s="46"/>
      <c r="F31" s="39"/>
      <c r="G31" s="46" t="n">
        <f aca="false">SUM(B31:F31)</f>
        <v>0</v>
      </c>
    </row>
    <row r="32" customFormat="false" ht="20.25" hidden="false" customHeight="true" outlineLevel="0" collapsed="false">
      <c r="A32" s="48" t="s">
        <v>86</v>
      </c>
      <c r="B32" s="53" t="n">
        <f aca="false">B27+B30</f>
        <v>818</v>
      </c>
      <c r="C32" s="2" t="s">
        <v>68</v>
      </c>
      <c r="D32" s="53" t="n">
        <f aca="false">D27+D30</f>
        <v>684.4</v>
      </c>
      <c r="E32" s="53" t="n">
        <f aca="false">E27+E30</f>
        <v>-1.35536408601999</v>
      </c>
      <c r="F32" s="50"/>
      <c r="G32" s="53" t="n">
        <f aca="false">SUM(B32:F32)</f>
        <v>1501.04463591398</v>
      </c>
    </row>
    <row r="33" customFormat="false" ht="20.25" hidden="true" customHeight="true" outlineLevel="0" collapsed="false">
      <c r="D33" s="35"/>
      <c r="E33" s="35"/>
      <c r="G33" s="35"/>
    </row>
    <row r="34" customFormat="false" ht="20.25" hidden="false" customHeight="true" outlineLevel="0" collapsed="false">
      <c r="A34" s="54" t="str">
        <f aca="false">IF(OR(B34&gt;=0.11,B34&lt;=-0.11,D34&gt;=0.11,D34&lt;=-0.11),"OUT OF BALANCE!!!","")</f>
        <v/>
      </c>
      <c r="B34" s="55" t="n">
        <f aca="false">B18-B32</f>
        <v>0</v>
      </c>
      <c r="C34" s="51"/>
      <c r="D34" s="55" t="n">
        <f aca="false">D18-D32</f>
        <v>-0.100000000000023</v>
      </c>
      <c r="E34" s="46"/>
      <c r="F34" s="39"/>
      <c r="G34" s="46"/>
    </row>
    <row r="35" s="34" customFormat="true" ht="41.25" hidden="false" customHeight="true" outlineLevel="0" collapsed="false">
      <c r="A35" s="56" t="s">
        <v>87</v>
      </c>
      <c r="B35" s="57"/>
      <c r="C35" s="32" t="s">
        <v>62</v>
      </c>
      <c r="D35" s="57"/>
      <c r="E35" s="57"/>
      <c r="G35" s="57"/>
      <c r="I35" s="58" t="s">
        <v>88</v>
      </c>
      <c r="J35" s="58"/>
    </row>
    <row r="36" customFormat="false" ht="20.25" hidden="false" customHeight="true" outlineLevel="0" collapsed="false">
      <c r="A36" s="59" t="s">
        <v>89</v>
      </c>
      <c r="B36" s="60" t="n">
        <v>1862897</v>
      </c>
      <c r="C36" s="61" t="s">
        <v>90</v>
      </c>
      <c r="D36" s="60" t="n">
        <v>1169305</v>
      </c>
      <c r="E36" s="62" t="n">
        <f aca="false">Assumptions!H68</f>
        <v>215993.476789168</v>
      </c>
      <c r="F36" s="63"/>
      <c r="G36" s="64" t="n">
        <f aca="false">SUM(B36:F36)</f>
        <v>3248195.47678917</v>
      </c>
      <c r="I36" s="65"/>
      <c r="J36" s="65"/>
    </row>
    <row r="37" customFormat="false" ht="20.25" hidden="false" customHeight="true" outlineLevel="0" collapsed="false">
      <c r="A37" s="59" t="s">
        <v>91</v>
      </c>
      <c r="B37" s="66" t="n">
        <v>41.36</v>
      </c>
      <c r="C37" s="61" t="s">
        <v>90</v>
      </c>
      <c r="D37" s="66" t="n">
        <v>39.29</v>
      </c>
      <c r="E37" s="62"/>
      <c r="F37" s="63"/>
      <c r="G37" s="64"/>
      <c r="I37" s="67" t="n">
        <f aca="false">G38-B38</f>
        <v>-3.3698748078933</v>
      </c>
      <c r="J37" s="68" t="n">
        <f aca="false">I37/B38</f>
        <v>-0.0837030622666666</v>
      </c>
    </row>
    <row r="38" customFormat="false" ht="20.25" hidden="false" customHeight="true" outlineLevel="0" collapsed="false">
      <c r="A38" s="69" t="s">
        <v>92</v>
      </c>
      <c r="B38" s="70" t="n">
        <f aca="false">(B29-B17)*1000000/B36</f>
        <v>40.2598748078933</v>
      </c>
      <c r="C38" s="2" t="s">
        <v>68</v>
      </c>
      <c r="D38" s="70" t="n">
        <f aca="false">(D29-D17)*1000000/D36</f>
        <v>45.2405488730485</v>
      </c>
      <c r="E38" s="71"/>
      <c r="G38" s="70" t="n">
        <f aca="false">ROUND((G29-G17)*1000000/G36,2)</f>
        <v>36.89</v>
      </c>
      <c r="I38" s="72" t="str">
        <f aca="false">IF(I37&gt;0,0,CONCATENATE(ROUND(I37*-1/I69,1)," Years"))</f>
        <v>4 Years</v>
      </c>
      <c r="J38" s="72"/>
    </row>
    <row r="39" customFormat="false" ht="20.25" hidden="false" customHeight="true" outlineLevel="0" collapsed="false">
      <c r="A39" s="59" t="s">
        <v>93</v>
      </c>
      <c r="B39" s="73" t="n">
        <f aca="false">(B30-B17)/(B18-B17)</f>
        <v>0.0916870415647922</v>
      </c>
      <c r="C39" s="2" t="s">
        <v>68</v>
      </c>
      <c r="D39" s="73" t="n">
        <f aca="false">(D30-D17)/(D18-D17)</f>
        <v>0.0773052754639778</v>
      </c>
      <c r="E39" s="73"/>
      <c r="F39" s="73"/>
      <c r="G39" s="73" t="n">
        <f aca="false">(G29-G17)/(G32-G17)</f>
        <v>0.0801880758229667</v>
      </c>
      <c r="I39" s="74"/>
      <c r="J39" s="74"/>
      <c r="L39" s="3" t="n">
        <f aca="false">IF(I37&gt;0,0,ROUND(I37*-1/I69,1))</f>
        <v>4</v>
      </c>
    </row>
    <row r="40" customFormat="false" ht="20.25" hidden="false" customHeight="true" outlineLevel="0" collapsed="false">
      <c r="A40" s="59" t="s">
        <v>94</v>
      </c>
      <c r="B40" s="73" t="n">
        <f aca="false">B37/B38</f>
        <v>1.02732559893333</v>
      </c>
      <c r="C40" s="2" t="s">
        <v>68</v>
      </c>
      <c r="D40" s="73" t="n">
        <f aca="false">D37/D38</f>
        <v>0.868468685255199</v>
      </c>
      <c r="E40" s="73"/>
      <c r="F40" s="73"/>
    </row>
    <row r="41" customFormat="false" ht="20.25" hidden="false" customHeight="true" outlineLevel="0" collapsed="false">
      <c r="B41" s="75"/>
      <c r="D41" s="75"/>
      <c r="E41" s="75"/>
      <c r="G41" s="75"/>
    </row>
    <row r="42" s="34" customFormat="true" ht="28.5" hidden="false" customHeight="true" outlineLevel="0" collapsed="false">
      <c r="A42" s="31" t="s">
        <v>95</v>
      </c>
      <c r="B42" s="31"/>
      <c r="C42" s="32" t="s">
        <v>62</v>
      </c>
      <c r="D42" s="33"/>
      <c r="E42" s="33"/>
      <c r="G42" s="31"/>
    </row>
    <row r="43" customFormat="false" ht="20.25" hidden="false" customHeight="true" outlineLevel="0" collapsed="false">
      <c r="A43" s="35"/>
      <c r="B43" s="76" t="s">
        <v>96</v>
      </c>
      <c r="D43" s="77"/>
      <c r="E43" s="77"/>
      <c r="G43" s="77"/>
      <c r="I43" s="40"/>
    </row>
    <row r="44" s="45" customFormat="true" ht="20.25" hidden="false" customHeight="true" outlineLevel="0" collapsed="false">
      <c r="A44" s="35" t="s">
        <v>97</v>
      </c>
      <c r="B44" s="36" t="n">
        <v>47.1</v>
      </c>
      <c r="C44" s="51" t="s">
        <v>98</v>
      </c>
      <c r="D44" s="36" t="n">
        <v>36.9</v>
      </c>
      <c r="E44" s="38" t="n">
        <f aca="false">(E9+E10)*Assumptions!C19</f>
        <v>-0.17555477548</v>
      </c>
      <c r="F44" s="39"/>
      <c r="G44" s="38" t="n">
        <f aca="false">SUM(B44:F44)</f>
        <v>83.82444522452</v>
      </c>
      <c r="H44" s="3"/>
      <c r="I44" s="40"/>
    </row>
    <row r="45" s="45" customFormat="true" ht="20.25" hidden="false" customHeight="true" outlineLevel="0" collapsed="false">
      <c r="A45" s="35" t="s">
        <v>99</v>
      </c>
      <c r="B45" s="36" t="n">
        <v>20.2</v>
      </c>
      <c r="C45" s="51" t="s">
        <v>98</v>
      </c>
      <c r="D45" s="36" t="n">
        <v>14.5</v>
      </c>
      <c r="E45" s="38"/>
      <c r="F45" s="39"/>
      <c r="G45" s="38" t="n">
        <f aca="false">SUM(B45:F45)</f>
        <v>34.7</v>
      </c>
      <c r="H45" s="3"/>
      <c r="I45" s="40"/>
    </row>
    <row r="46" s="45" customFormat="true" ht="20.25" hidden="false" customHeight="true" outlineLevel="0" collapsed="false">
      <c r="A46" s="35" t="s">
        <v>100</v>
      </c>
      <c r="B46" s="36" t="n">
        <v>2.1</v>
      </c>
      <c r="C46" s="51" t="s">
        <v>98</v>
      </c>
      <c r="D46" s="36" t="n">
        <v>0.8</v>
      </c>
      <c r="E46" s="38" t="n">
        <v>0</v>
      </c>
      <c r="F46" s="39"/>
      <c r="G46" s="38" t="n">
        <f aca="false">SUM(B46:F46)</f>
        <v>2.9</v>
      </c>
      <c r="H46" s="3"/>
      <c r="I46" s="40"/>
    </row>
    <row r="47" s="45" customFormat="true" ht="20.25" hidden="false" customHeight="true" outlineLevel="0" collapsed="false">
      <c r="A47" s="35" t="s">
        <v>101</v>
      </c>
      <c r="B47" s="49" t="n">
        <f aca="false">B44-B45+B46</f>
        <v>29</v>
      </c>
      <c r="C47" s="2" t="s">
        <v>68</v>
      </c>
      <c r="D47" s="49" t="n">
        <f aca="false">D44-D45+D46</f>
        <v>23.2</v>
      </c>
      <c r="E47" s="49" t="n">
        <f aca="false">E44-E46</f>
        <v>-0.17555477548</v>
      </c>
      <c r="F47" s="78"/>
      <c r="G47" s="49" t="n">
        <f aca="false">SUM(B47:F47)</f>
        <v>52.02444522452</v>
      </c>
      <c r="H47" s="3"/>
      <c r="I47" s="40"/>
    </row>
    <row r="48" s="45" customFormat="true" ht="20.25" hidden="false" customHeight="true" outlineLevel="0" collapsed="false">
      <c r="A48" s="35"/>
      <c r="B48" s="79"/>
      <c r="C48" s="51"/>
      <c r="D48" s="79"/>
      <c r="E48" s="79"/>
      <c r="F48" s="39"/>
      <c r="G48" s="79" t="n">
        <f aca="false">SUM(B48:F48)</f>
        <v>0</v>
      </c>
      <c r="H48" s="3"/>
      <c r="I48" s="40"/>
    </row>
    <row r="49" s="45" customFormat="true" ht="20.25" hidden="false" customHeight="true" outlineLevel="0" collapsed="false">
      <c r="A49" s="35" t="s">
        <v>102</v>
      </c>
      <c r="B49" s="36" t="n">
        <v>7.2</v>
      </c>
      <c r="C49" s="51" t="s">
        <v>98</v>
      </c>
      <c r="D49" s="36" t="n">
        <v>3.5</v>
      </c>
      <c r="E49" s="38"/>
      <c r="F49" s="39"/>
      <c r="G49" s="38" t="n">
        <f aca="false">SUM(B49:F49)</f>
        <v>10.7</v>
      </c>
      <c r="H49" s="3"/>
      <c r="I49" s="40"/>
    </row>
    <row r="50" s="45" customFormat="true" ht="20.25" hidden="false" customHeight="true" outlineLevel="0" collapsed="false">
      <c r="A50" s="35" t="s">
        <v>103</v>
      </c>
      <c r="B50" s="36" t="n">
        <v>5.3</v>
      </c>
      <c r="C50" s="51" t="s">
        <v>98</v>
      </c>
      <c r="D50" s="36" t="n">
        <v>3.4</v>
      </c>
      <c r="E50" s="38"/>
      <c r="F50" s="39"/>
      <c r="G50" s="38" t="n">
        <f aca="false">SUM(B50:F50)</f>
        <v>8.7</v>
      </c>
      <c r="H50" s="3"/>
      <c r="I50" s="40"/>
    </row>
    <row r="51" s="45" customFormat="true" ht="20.25" hidden="false" customHeight="true" outlineLevel="0" collapsed="false">
      <c r="A51" s="35" t="s">
        <v>104</v>
      </c>
      <c r="B51" s="36" t="n">
        <v>23.1</v>
      </c>
      <c r="C51" s="51" t="s">
        <v>98</v>
      </c>
      <c r="D51" s="36" t="n">
        <v>20.5</v>
      </c>
      <c r="E51" s="38" t="n">
        <f aca="false">D51*-Assumptions!C13</f>
        <v>-6.15</v>
      </c>
      <c r="F51" s="39"/>
      <c r="G51" s="38" t="n">
        <f aca="false">SUM(B51:F51)</f>
        <v>37.45</v>
      </c>
      <c r="H51" s="3"/>
      <c r="I51" s="40"/>
    </row>
    <row r="52" customFormat="false" ht="20.25" hidden="false" customHeight="true" outlineLevel="0" collapsed="false">
      <c r="A52" s="35" t="s">
        <v>105</v>
      </c>
      <c r="B52" s="44"/>
      <c r="C52" s="2" t="s">
        <v>106</v>
      </c>
      <c r="D52" s="44"/>
      <c r="E52" s="44" t="n">
        <f aca="false">-IFERROR((10-1+1)/(((10)*((10)/2))+(10)/2)*Assumptions!C17*D20*-1,0)</f>
        <v>1.65890909090909</v>
      </c>
      <c r="F52" s="39"/>
      <c r="G52" s="44" t="n">
        <f aca="false">SUM(B52:F52)</f>
        <v>1.65890909090909</v>
      </c>
      <c r="I52" s="40"/>
    </row>
    <row r="53" s="45" customFormat="true" ht="20.25" hidden="false" customHeight="true" outlineLevel="0" collapsed="false">
      <c r="A53" s="35" t="s">
        <v>107</v>
      </c>
      <c r="B53" s="49" t="n">
        <f aca="false">B47+B49-B50-B51-B52</f>
        <v>7.8</v>
      </c>
      <c r="C53" s="2" t="s">
        <v>68</v>
      </c>
      <c r="D53" s="49" t="n">
        <f aca="false">D47+D49-D50-D51-D52</f>
        <v>2.8</v>
      </c>
      <c r="E53" s="49" t="n">
        <f aca="false">E47+E49-E50-E51-E52</f>
        <v>4.31553613361091</v>
      </c>
      <c r="F53" s="78"/>
      <c r="G53" s="49" t="n">
        <f aca="false">SUM(B53:F53)</f>
        <v>14.9155361336109</v>
      </c>
      <c r="H53" s="3"/>
      <c r="I53" s="40"/>
    </row>
    <row r="54" s="45" customFormat="true" ht="20.25" hidden="false" customHeight="true" outlineLevel="0" collapsed="false">
      <c r="A54" s="35"/>
      <c r="B54" s="79"/>
      <c r="C54" s="51"/>
      <c r="D54" s="79"/>
      <c r="E54" s="79"/>
      <c r="F54" s="39"/>
      <c r="G54" s="79" t="n">
        <f aca="false">SUM(B54:F54)</f>
        <v>0</v>
      </c>
      <c r="H54" s="3"/>
      <c r="I54" s="40"/>
    </row>
    <row r="55" s="45" customFormat="true" ht="20.25" hidden="false" customHeight="true" outlineLevel="0" collapsed="false">
      <c r="A55" s="35" t="s">
        <v>108</v>
      </c>
      <c r="B55" s="36" t="n">
        <v>0.6</v>
      </c>
      <c r="C55" s="51" t="s">
        <v>98</v>
      </c>
      <c r="D55" s="36" t="n">
        <v>0.6</v>
      </c>
      <c r="E55" s="38"/>
      <c r="F55" s="39"/>
      <c r="G55" s="38" t="n">
        <f aca="false">SUM(B55:F55)</f>
        <v>1.2</v>
      </c>
      <c r="H55" s="3"/>
      <c r="I55" s="40"/>
    </row>
    <row r="56" s="45" customFormat="true" ht="20.25" hidden="false" customHeight="true" outlineLevel="0" collapsed="false">
      <c r="A56" s="35" t="s">
        <v>109</v>
      </c>
      <c r="B56" s="49" t="n">
        <f aca="false">B53+B55</f>
        <v>8.4</v>
      </c>
      <c r="C56" s="2" t="s">
        <v>68</v>
      </c>
      <c r="D56" s="49" t="n">
        <f aca="false">D53+D55</f>
        <v>3.4</v>
      </c>
      <c r="E56" s="49" t="n">
        <f aca="false">E53+E55</f>
        <v>4.31553613361091</v>
      </c>
      <c r="F56" s="78"/>
      <c r="G56" s="49" t="n">
        <f aca="false">SUM(B56:F56)</f>
        <v>16.1155361336109</v>
      </c>
      <c r="H56" s="3"/>
      <c r="I56" s="40"/>
    </row>
    <row r="57" customFormat="false" ht="20.25" hidden="false" customHeight="true" outlineLevel="0" collapsed="false">
      <c r="A57" s="35"/>
      <c r="B57" s="79"/>
      <c r="C57" s="51"/>
      <c r="D57" s="79"/>
      <c r="E57" s="79"/>
      <c r="F57" s="39"/>
      <c r="G57" s="79" t="n">
        <f aca="false">SUM(B57:F57)</f>
        <v>0</v>
      </c>
      <c r="I57" s="40"/>
    </row>
    <row r="58" customFormat="false" ht="20.25" hidden="false" customHeight="true" outlineLevel="0" collapsed="false">
      <c r="A58" s="35" t="s">
        <v>110</v>
      </c>
      <c r="B58" s="36" t="n">
        <v>1.7</v>
      </c>
      <c r="C58" s="51" t="s">
        <v>98</v>
      </c>
      <c r="D58" s="36" t="n">
        <v>0.6</v>
      </c>
      <c r="E58" s="38" t="n">
        <f aca="false">E56*Assumptions!C18</f>
        <v>0.906262588058291</v>
      </c>
      <c r="F58" s="39"/>
      <c r="G58" s="38" t="n">
        <f aca="false">SUM(B58:F58)</f>
        <v>3.20626258805829</v>
      </c>
      <c r="I58" s="40"/>
    </row>
    <row r="59" customFormat="false" ht="20.25" hidden="false" customHeight="true" outlineLevel="0" collapsed="false">
      <c r="A59" s="35" t="s">
        <v>111</v>
      </c>
      <c r="B59" s="49" t="n">
        <f aca="false">B56-B58</f>
        <v>6.7</v>
      </c>
      <c r="C59" s="2" t="s">
        <v>68</v>
      </c>
      <c r="D59" s="49" t="n">
        <f aca="false">D56-D58</f>
        <v>2.8</v>
      </c>
      <c r="E59" s="49" t="n">
        <f aca="false">E56-E58</f>
        <v>3.40927354555262</v>
      </c>
      <c r="F59" s="50"/>
      <c r="G59" s="49" t="n">
        <f aca="false">SUM(B59:F59)</f>
        <v>12.9092735455526</v>
      </c>
      <c r="I59" s="80"/>
    </row>
    <row r="60" customFormat="false" ht="20.25" hidden="false" customHeight="true" outlineLevel="0" collapsed="false">
      <c r="A60" s="35"/>
      <c r="B60" s="81"/>
      <c r="C60" s="51"/>
      <c r="D60" s="81"/>
      <c r="E60" s="81"/>
      <c r="F60" s="39"/>
      <c r="G60" s="81"/>
      <c r="I60" s="40"/>
    </row>
    <row r="61" customFormat="false" ht="20.25" hidden="false" customHeight="true" outlineLevel="0" collapsed="false">
      <c r="A61" s="35" t="s">
        <v>112</v>
      </c>
      <c r="B61" s="36" t="n">
        <f aca="false">-B55</f>
        <v>-0.6</v>
      </c>
      <c r="C61" s="51" t="s">
        <v>113</v>
      </c>
      <c r="D61" s="36" t="n">
        <f aca="false">-D55</f>
        <v>-0.6</v>
      </c>
      <c r="E61" s="38"/>
      <c r="F61" s="39"/>
      <c r="G61" s="38" t="n">
        <f aca="false">SUM(B61:F61)</f>
        <v>-1.2</v>
      </c>
      <c r="I61" s="40"/>
    </row>
    <row r="62" customFormat="false" ht="20.25" hidden="false" customHeight="true" outlineLevel="0" collapsed="false">
      <c r="A62" s="35" t="s">
        <v>114</v>
      </c>
      <c r="B62" s="38" t="n">
        <f aca="false">B56+B61</f>
        <v>7.8</v>
      </c>
      <c r="C62" s="2" t="s">
        <v>68</v>
      </c>
      <c r="D62" s="38" t="n">
        <f aca="false">D56+D61</f>
        <v>2.8</v>
      </c>
      <c r="E62" s="38" t="n">
        <f aca="false">E56</f>
        <v>4.31553613361091</v>
      </c>
      <c r="F62" s="39"/>
      <c r="G62" s="38" t="n">
        <f aca="false">SUM(B62:F62)</f>
        <v>14.9155361336109</v>
      </c>
      <c r="I62" s="80"/>
    </row>
    <row r="63" customFormat="false" ht="20.25" hidden="false" customHeight="true" outlineLevel="0" collapsed="false">
      <c r="A63" s="35" t="s">
        <v>115</v>
      </c>
      <c r="B63" s="44" t="n">
        <f aca="false">B62*B58/B56</f>
        <v>1.57857142857143</v>
      </c>
      <c r="C63" s="2" t="s">
        <v>68</v>
      </c>
      <c r="D63" s="44" t="n">
        <f aca="false">D62*D58/D56</f>
        <v>0.494117647058824</v>
      </c>
      <c r="E63" s="38" t="n">
        <f aca="false">E62*Assumptions!C18</f>
        <v>0.906262588058291</v>
      </c>
      <c r="F63" s="39"/>
      <c r="G63" s="38" t="n">
        <f aca="false">SUM(B63:F63)</f>
        <v>2.97895166368854</v>
      </c>
      <c r="I63" s="80"/>
    </row>
    <row r="64" customFormat="false" ht="20.25" hidden="false" customHeight="true" outlineLevel="0" collapsed="false">
      <c r="A64" s="35" t="s">
        <v>116</v>
      </c>
      <c r="B64" s="53" t="n">
        <f aca="false">B62-B63</f>
        <v>6.22142857142857</v>
      </c>
      <c r="C64" s="2" t="s">
        <v>68</v>
      </c>
      <c r="D64" s="53" t="n">
        <f aca="false">D62-D63</f>
        <v>2.30588235294118</v>
      </c>
      <c r="E64" s="49" t="n">
        <f aca="false">E62-E63</f>
        <v>3.40927354555262</v>
      </c>
      <c r="F64" s="78"/>
      <c r="G64" s="49" t="n">
        <f aca="false">SUM(B64:F64)</f>
        <v>11.9365844699224</v>
      </c>
      <c r="I64" s="80"/>
    </row>
    <row r="65" customFormat="false" ht="20.25" hidden="false" customHeight="true" outlineLevel="0" collapsed="false">
      <c r="A65" s="35"/>
      <c r="B65" s="82"/>
      <c r="D65" s="82"/>
      <c r="E65" s="82"/>
      <c r="G65" s="82" t="n">
        <f aca="false">SUM(B65:F65)</f>
        <v>0</v>
      </c>
      <c r="I65" s="80"/>
    </row>
    <row r="66" s="34" customFormat="true" ht="41.25" hidden="false" customHeight="true" outlineLevel="0" collapsed="false">
      <c r="A66" s="56" t="s">
        <v>117</v>
      </c>
      <c r="B66" s="31"/>
      <c r="C66" s="32" t="s">
        <v>62</v>
      </c>
      <c r="D66" s="31"/>
      <c r="E66" s="31"/>
      <c r="G66" s="31"/>
      <c r="I66" s="83" t="s">
        <v>118</v>
      </c>
      <c r="J66" s="83"/>
    </row>
    <row r="67" customFormat="false" ht="20.25" hidden="false" customHeight="true" outlineLevel="0" collapsed="false">
      <c r="A67" s="59" t="s">
        <v>89</v>
      </c>
      <c r="B67" s="62" t="n">
        <f aca="false">B36</f>
        <v>1862897</v>
      </c>
      <c r="C67" s="2" t="s">
        <v>68</v>
      </c>
      <c r="D67" s="62" t="n">
        <f aca="false">D36</f>
        <v>1169305</v>
      </c>
      <c r="E67" s="84" t="n">
        <f aca="false">E36</f>
        <v>215993.476789168</v>
      </c>
      <c r="F67" s="63"/>
      <c r="G67" s="62" t="n">
        <f aca="false">SUM(B67:F67)</f>
        <v>3248195.47678917</v>
      </c>
      <c r="I67" s="85" t="s">
        <v>119</v>
      </c>
      <c r="J67" s="85"/>
      <c r="AA67" s="86"/>
      <c r="AC67" s="87"/>
    </row>
    <row r="68" customFormat="false" ht="20.25" hidden="false" customHeight="true" outlineLevel="0" collapsed="false">
      <c r="A68" s="59" t="s">
        <v>120</v>
      </c>
      <c r="B68" s="88" t="n">
        <f aca="false">ROUND(B64*1000000/B67,2)</f>
        <v>3.34</v>
      </c>
      <c r="C68" s="2" t="s">
        <v>68</v>
      </c>
      <c r="D68" s="88" t="n">
        <f aca="false">ROUND(D64*1000000/D67,2)</f>
        <v>1.97</v>
      </c>
      <c r="E68" s="89"/>
      <c r="G68" s="88" t="n">
        <f aca="false">ROUND(G64*1000000/G67,2)</f>
        <v>3.67</v>
      </c>
      <c r="I68" s="90" t="n">
        <f aca="false">G68-B68</f>
        <v>0.33</v>
      </c>
      <c r="J68" s="91" t="n">
        <f aca="false">I68/B68</f>
        <v>0.0988023952095809</v>
      </c>
      <c r="X68" s="92"/>
      <c r="Y68" s="92"/>
      <c r="AA68" s="88"/>
    </row>
    <row r="69" customFormat="false" ht="20.25" hidden="false" customHeight="true" outlineLevel="0" collapsed="false">
      <c r="A69" s="59" t="s">
        <v>121</v>
      </c>
      <c r="B69" s="93" t="n">
        <f aca="false">ROUND((B64+B52)*1000000/B67,2)</f>
        <v>3.34</v>
      </c>
      <c r="C69" s="2" t="s">
        <v>68</v>
      </c>
      <c r="D69" s="93" t="n">
        <f aca="false">ROUND((D64+D52)*1000000/D67,2)</f>
        <v>1.97</v>
      </c>
      <c r="E69" s="89"/>
      <c r="G69" s="93" t="n">
        <f aca="false">ROUND((G64+G52)*1000000/G67,2)</f>
        <v>4.19</v>
      </c>
      <c r="I69" s="94" t="n">
        <f aca="false">G69-B69</f>
        <v>0.850000000000001</v>
      </c>
      <c r="J69" s="91" t="n">
        <f aca="false">I69/B69</f>
        <v>0.254491017964072</v>
      </c>
      <c r="Y69" s="92"/>
      <c r="AA69" s="93"/>
      <c r="AC69" s="92"/>
    </row>
    <row r="70" customFormat="false" ht="20.25" hidden="false" customHeight="true" outlineLevel="0" collapsed="false">
      <c r="A70" s="59" t="s">
        <v>122</v>
      </c>
      <c r="B70" s="93" t="n">
        <f aca="false">B37/B68</f>
        <v>12.3832335329341</v>
      </c>
      <c r="C70" s="2" t="s">
        <v>68</v>
      </c>
      <c r="D70" s="93" t="n">
        <f aca="false">D37/D68</f>
        <v>19.9441624365482</v>
      </c>
      <c r="E70" s="89"/>
      <c r="G70" s="93"/>
      <c r="I70" s="94"/>
      <c r="J70" s="91"/>
      <c r="Y70" s="92"/>
      <c r="AA70" s="93"/>
      <c r="AC70" s="92"/>
    </row>
    <row r="71" customFormat="false" ht="14.25" hidden="false" customHeight="true" outlineLevel="0" collapsed="false">
      <c r="Y71" s="95"/>
      <c r="AC71" s="92"/>
    </row>
    <row r="72" customFormat="false" ht="14.25" hidden="true" customHeight="true" outlineLevel="0" collapsed="false">
      <c r="Y72" s="92"/>
    </row>
    <row r="73" customFormat="false" ht="14.25" hidden="true" customHeight="true" outlineLevel="0" collapsed="false">
      <c r="E73" s="96"/>
    </row>
    <row r="74" customFormat="false" ht="14.25" hidden="true" customHeight="true" outlineLevel="0" collapsed="false">
      <c r="D74" s="97"/>
      <c r="E74" s="87"/>
    </row>
  </sheetData>
  <sheetProtection sheet="true" objects="true" scenarios="true"/>
  <mergeCells count="8">
    <mergeCell ref="D8:E8"/>
    <mergeCell ref="I17:K17"/>
    <mergeCell ref="I35:J35"/>
    <mergeCell ref="I36:J36"/>
    <mergeCell ref="I38:J38"/>
    <mergeCell ref="D42:E42"/>
    <mergeCell ref="I66:J66"/>
    <mergeCell ref="I67:J67"/>
  </mergeCells>
  <conditionalFormatting sqref="B34 D34">
    <cfRule type="cellIs" priority="2" operator="between" aboveAverage="0" equalAverage="0" bottom="0" percent="0" rank="0" text="" dxfId="2">
      <formula>-0.11</formula>
      <formula>0.11</formula>
    </cfRule>
  </conditionalFormatting>
  <conditionalFormatting sqref="E4:F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2" right="0.2" top="0.25" bottom="0.25" header="0.511811023622047" footer="0.511811023622047"/>
  <pageSetup paperSize="1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390625" defaultRowHeight="14.25" zeroHeight="tru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32.14"/>
    <col collapsed="false" customWidth="true" hidden="false" outlineLevel="0" max="3" min="3" style="0" width="14.6"/>
    <col collapsed="false" customWidth="true" hidden="false" outlineLevel="0" max="4" min="4" style="0" width="14.87"/>
    <col collapsed="false" customWidth="true" hidden="false" outlineLevel="0" max="5" min="5" style="0" width="10.86"/>
    <col collapsed="false" customWidth="true" hidden="false" outlineLevel="0" max="6" min="6" style="0" width="11.14"/>
    <col collapsed="false" customWidth="true" hidden="false" outlineLevel="0" max="7" min="7" style="0" width="17.26"/>
    <col collapsed="false" customWidth="true" hidden="false" outlineLevel="0" max="8" min="8" style="0" width="28.86"/>
    <col collapsed="false" customWidth="true" hidden="false" outlineLevel="0" max="9" min="9" style="0" width="33.87"/>
    <col collapsed="false" customWidth="true" hidden="true" outlineLevel="0" max="10" min="10" style="0" width="8.86"/>
    <col collapsed="false" customWidth="true" hidden="false" outlineLevel="0" max="16384" min="16384" style="0" width="0.4"/>
  </cols>
  <sheetData>
    <row r="1" customFormat="false" ht="14.25" hidden="false" customHeight="true" outlineLevel="0" collapsed="false">
      <c r="I1" s="19" t="str">
        <f aca="false">Model!I1</f>
        <v>Any Issues:</v>
      </c>
    </row>
    <row r="2" customFormat="false" ht="14.25" hidden="false" customHeight="false" outlineLevel="0" collapsed="false">
      <c r="C2" s="19" t="str">
        <f aca="false">Model!B2</f>
        <v>Total Transaction Value: $57.3 million</v>
      </c>
      <c r="D2" s="19"/>
      <c r="E2" s="19"/>
      <c r="F2" s="19" t="str">
        <f aca="false">Model!E2</f>
        <v>TBVS Dilution: -$3.37 or -8.4%</v>
      </c>
      <c r="G2" s="19"/>
      <c r="I2" s="98" t="str">
        <f aca="false">Model!I2</f>
        <v/>
      </c>
    </row>
    <row r="3" customFormat="false" ht="14.25" hidden="false" customHeight="false" outlineLevel="0" collapsed="false">
      <c r="C3" s="19" t="str">
        <f aca="false">Model!B3</f>
        <v>P/TBVS = 108.3%</v>
      </c>
      <c r="D3" s="19"/>
      <c r="E3" s="19"/>
      <c r="F3" s="19" t="str">
        <f aca="false">Model!E3</f>
        <v>Cash EPS Accretion: $0.85 or 25.4%</v>
      </c>
      <c r="G3" s="19"/>
      <c r="I3" s="22" t="str">
        <f aca="false">Model!I3</f>
        <v/>
      </c>
    </row>
    <row r="4" customFormat="false" ht="14.25" hidden="false" customHeight="true" outlineLevel="0" collapsed="false">
      <c r="C4" s="19" t="str">
        <f aca="false">Model!B4</f>
        <v>P/EPS = 24.8</v>
      </c>
      <c r="D4" s="19"/>
      <c r="E4" s="19"/>
      <c r="F4" s="99" t="str">
        <f aca="false">Model!E4</f>
        <v>TBVS Workback: 4 Years</v>
      </c>
      <c r="G4" s="19"/>
      <c r="I4" s="24" t="str">
        <f aca="false">Model!I4</f>
        <v/>
      </c>
    </row>
    <row r="5" customFormat="false" ht="14.25" hidden="false" customHeight="false" outlineLevel="0" collapsed="false">
      <c r="C5" s="19" t="str">
        <f aca="false">Model!B5</f>
        <v>P/MVS = 124.7%</v>
      </c>
      <c r="D5" s="19"/>
      <c r="E5" s="19"/>
      <c r="F5" s="19" t="str">
        <f aca="false">Model!E5</f>
        <v>Cost Savings: $6.2 million or 30.0%</v>
      </c>
      <c r="G5" s="19"/>
    </row>
    <row r="6" customFormat="false" ht="14.25" hidden="false" customHeight="false" outlineLevel="0" collapsed="false">
      <c r="B6" s="0" t="s">
        <v>8</v>
      </c>
      <c r="C6" s="19" t="str">
        <f aca="false">Model!B6</f>
        <v>100.0% Stock / 0.0% Cash</v>
      </c>
      <c r="D6" s="19"/>
      <c r="E6" s="19"/>
      <c r="F6" s="19" t="str">
        <f aca="false">Model!E6</f>
        <v>Deal Expenses: $4.6 million or 8.0%</v>
      </c>
      <c r="G6" s="19"/>
    </row>
    <row r="7" customFormat="false" ht="14.25" hidden="false" customHeight="false" outlineLevel="0" collapsed="false">
      <c r="B7" s="100" t="s">
        <v>123</v>
      </c>
      <c r="C7" s="101"/>
      <c r="D7" s="101"/>
      <c r="E7" s="102"/>
      <c r="F7" s="102"/>
      <c r="G7" s="102"/>
      <c r="H7" s="102"/>
      <c r="I7" s="102"/>
    </row>
    <row r="9" customFormat="false" ht="14.25" hidden="false" customHeight="false" outlineLevel="0" collapsed="false">
      <c r="B9" s="6" t="s">
        <v>124</v>
      </c>
      <c r="C9" s="1"/>
      <c r="D9" s="1"/>
      <c r="F9" s="6" t="s">
        <v>125</v>
      </c>
      <c r="G9" s="1"/>
      <c r="H9" s="1"/>
      <c r="I9" s="1"/>
    </row>
    <row r="10" customFormat="false" ht="14.25" hidden="false" customHeight="false" outlineLevel="0" collapsed="false">
      <c r="B10" s="0" t="s">
        <v>126</v>
      </c>
      <c r="C10" s="103" t="n">
        <v>49</v>
      </c>
      <c r="F10" s="3" t="s">
        <v>127</v>
      </c>
    </row>
    <row r="11" customFormat="false" ht="14.25" hidden="false" customHeight="false" outlineLevel="0" collapsed="false">
      <c r="B11" s="0" t="s">
        <v>128</v>
      </c>
      <c r="C11" s="104" t="n">
        <v>1</v>
      </c>
      <c r="D11" s="3" t="s">
        <v>129</v>
      </c>
      <c r="F11" s="3" t="s">
        <v>130</v>
      </c>
      <c r="H11" s="63"/>
    </row>
    <row r="12" customFormat="false" ht="14.25" hidden="false" customHeight="false" outlineLevel="0" collapsed="false">
      <c r="C12" s="105" t="n">
        <f aca="false">1-C11</f>
        <v>0</v>
      </c>
      <c r="D12" s="3" t="s">
        <v>131</v>
      </c>
      <c r="F12" s="3" t="s">
        <v>68</v>
      </c>
      <c r="H12" s="63"/>
    </row>
    <row r="13" customFormat="false" ht="14.25" hidden="false" customHeight="false" outlineLevel="0" collapsed="false">
      <c r="B13" s="0" t="s">
        <v>132</v>
      </c>
      <c r="C13" s="106" t="n">
        <v>0.3</v>
      </c>
      <c r="F13" s="3" t="s">
        <v>133</v>
      </c>
    </row>
    <row r="14" customFormat="false" ht="14.25" hidden="false" customHeight="false" outlineLevel="0" collapsed="false">
      <c r="B14" s="0" t="s">
        <v>134</v>
      </c>
      <c r="C14" s="106" t="n">
        <v>0.08</v>
      </c>
      <c r="F14" s="3" t="s">
        <v>135</v>
      </c>
    </row>
    <row r="15" customFormat="false" ht="14.25" hidden="true" customHeight="false" outlineLevel="0" collapsed="false">
      <c r="B15" s="0" t="s">
        <v>136</v>
      </c>
      <c r="C15" s="107" t="n">
        <v>0.9</v>
      </c>
      <c r="G15" s="108"/>
      <c r="H15" s="63"/>
    </row>
    <row r="16" customFormat="false" ht="14.25" hidden="false" customHeight="false" outlineLevel="0" collapsed="false">
      <c r="B16" s="0" t="s">
        <v>137</v>
      </c>
      <c r="C16" s="109" t="n">
        <v>1.5</v>
      </c>
      <c r="F16" s="3" t="s">
        <v>138</v>
      </c>
    </row>
    <row r="17" customFormat="false" ht="14.25" hidden="false" customHeight="false" outlineLevel="0" collapsed="false">
      <c r="B17" s="0" t="s">
        <v>139</v>
      </c>
      <c r="C17" s="110" t="n">
        <v>0.02</v>
      </c>
      <c r="F17" s="3" t="s">
        <v>140</v>
      </c>
    </row>
    <row r="18" customFormat="false" ht="14.25" hidden="false" customHeight="false" outlineLevel="0" collapsed="false">
      <c r="B18" s="0" t="s">
        <v>141</v>
      </c>
      <c r="C18" s="111" t="n">
        <v>0.21</v>
      </c>
      <c r="F18" s="112" t="str">
        <f aca="false">Model!B7&amp;"'s Tax Rate = "&amp;TEXT(F27,"0.0%")&amp;" / "&amp;Model!D7&amp;"'s Tax Rate = "&amp;TEXT(H27,"0.0%")</f>
        <v>Bank 1 - Bottom of the Barrel Bank's Tax Rate = 20.2% / Bank 4's Tax Rate = 17.6%</v>
      </c>
      <c r="G18" s="112"/>
      <c r="H18" s="112"/>
      <c r="I18" s="112"/>
    </row>
    <row r="19" customFormat="false" ht="14.25" hidden="false" customHeight="false" outlineLevel="0" collapsed="false">
      <c r="B19" s="0" t="s">
        <v>142</v>
      </c>
      <c r="C19" s="110" t="n">
        <v>0.0383</v>
      </c>
      <c r="F19" s="3" t="s">
        <v>143</v>
      </c>
    </row>
    <row r="20" customFormat="false" ht="9" hidden="false" customHeight="true" outlineLevel="0" collapsed="false"/>
    <row r="21" customFormat="false" ht="14.25" hidden="true" customHeight="false" outlineLevel="0" collapsed="false">
      <c r="B21" s="113" t="s">
        <v>144</v>
      </c>
      <c r="C21" s="114"/>
      <c r="D21" s="114"/>
    </row>
    <row r="22" customFormat="false" ht="14.25" hidden="true" customHeight="false" outlineLevel="0" collapsed="false">
      <c r="B22" s="113" t="s">
        <v>145</v>
      </c>
      <c r="C22" s="113"/>
      <c r="D22" s="113"/>
      <c r="E22" s="113"/>
      <c r="F22" s="113"/>
      <c r="G22" s="113"/>
    </row>
    <row r="23" customFormat="false" ht="14.25" hidden="true" customHeight="false" outlineLevel="0" collapsed="false">
      <c r="B23" s="113" t="s">
        <v>146</v>
      </c>
      <c r="C23" s="113"/>
      <c r="D23" s="113"/>
      <c r="E23" s="113"/>
      <c r="F23" s="113"/>
      <c r="G23" s="113"/>
    </row>
    <row r="24" customFormat="false" ht="14.25" hidden="true" customHeight="false" outlineLevel="0" collapsed="false">
      <c r="B24" s="1" t="s">
        <v>147</v>
      </c>
      <c r="C24" s="1"/>
    </row>
    <row r="25" customFormat="false" ht="14.25" hidden="true" customHeight="false" outlineLevel="0" collapsed="false">
      <c r="B25" s="0" t="s">
        <v>148</v>
      </c>
      <c r="C25" s="92" t="n">
        <f aca="false">C10</f>
        <v>49</v>
      </c>
      <c r="F25" s="105" t="n">
        <f aca="false">C10*Model!D36/(Model!D29-Model!D17)/1000000</f>
        <v>1.08309914933837</v>
      </c>
      <c r="G25" s="3" t="s">
        <v>149</v>
      </c>
      <c r="H25" s="63" t="n">
        <f aca="false">C10*Model!D36/Model!D64/1000000</f>
        <v>24.84773125</v>
      </c>
      <c r="I25" s="3" t="s">
        <v>150</v>
      </c>
    </row>
    <row r="26" customFormat="false" ht="14.25" hidden="true" customHeight="false" outlineLevel="0" collapsed="false">
      <c r="B26" s="0" t="s">
        <v>151</v>
      </c>
      <c r="C26" s="0" t="n">
        <f aca="false">C25/Model!B37</f>
        <v>1.18471953578337</v>
      </c>
      <c r="F26" s="105" t="n">
        <f aca="false">C10/Model!D37</f>
        <v>1.24713667599898</v>
      </c>
      <c r="G26" s="3" t="s">
        <v>152</v>
      </c>
    </row>
    <row r="27" customFormat="false" ht="14.25" hidden="true" customHeight="false" outlineLevel="0" collapsed="false">
      <c r="F27" s="115" t="n">
        <f aca="false">Model!B58/Model!B56</f>
        <v>0.202380952380952</v>
      </c>
      <c r="G27" s="3" t="s">
        <v>153</v>
      </c>
      <c r="H27" s="115" t="n">
        <f aca="false">Model!D58/Model!D56</f>
        <v>0.176470588235294</v>
      </c>
      <c r="I27" s="3" t="s">
        <v>154</v>
      </c>
    </row>
    <row r="28" customFormat="false" ht="14.25" hidden="true" customHeight="false" outlineLevel="0" collapsed="false">
      <c r="C28" s="108"/>
    </row>
    <row r="29" customFormat="false" ht="14.25" hidden="true" customHeight="false" outlineLevel="0" collapsed="false">
      <c r="B29" s="0" t="s">
        <v>155</v>
      </c>
      <c r="C29" s="39" t="n">
        <f aca="false">Model!D29</f>
        <v>52.9</v>
      </c>
    </row>
    <row r="30" customFormat="false" ht="14.25" hidden="true" customHeight="false" outlineLevel="0" collapsed="false">
      <c r="B30" s="0" t="s">
        <v>156</v>
      </c>
      <c r="C30" s="116" t="n">
        <f aca="false">Model!D17</f>
        <v>0</v>
      </c>
    </row>
    <row r="31" customFormat="false" ht="14.25" hidden="true" customHeight="false" outlineLevel="0" collapsed="false">
      <c r="B31" s="0" t="s">
        <v>157</v>
      </c>
      <c r="C31" s="39" t="n">
        <f aca="false">D63*-1</f>
        <v>0.40542610682</v>
      </c>
    </row>
    <row r="32" customFormat="false" ht="14.25" hidden="true" customHeight="false" outlineLevel="0" collapsed="false">
      <c r="B32" s="0" t="s">
        <v>158</v>
      </c>
      <c r="C32" s="39" t="n">
        <f aca="false">C17*Model!D20*(1-C18)</f>
        <v>7.20796</v>
      </c>
    </row>
    <row r="33" customFormat="false" ht="14.25" hidden="true" customHeight="false" outlineLevel="0" collapsed="false">
      <c r="C33" s="39" t="n">
        <f aca="false">C29-C30-C31+C32</f>
        <v>59.70253389318</v>
      </c>
    </row>
    <row r="35" customFormat="false" ht="14.25" hidden="true" customHeight="false" outlineLevel="0" collapsed="false">
      <c r="B35" s="0" t="s">
        <v>159</v>
      </c>
      <c r="C35" s="117" t="n">
        <f aca="false">C10*Model!D36/1000000-C33</f>
        <v>-2.40658889317999</v>
      </c>
    </row>
    <row r="36" customFormat="false" ht="14.25" hidden="true" customHeight="false" outlineLevel="0" collapsed="false">
      <c r="B36" s="0" t="s">
        <v>160</v>
      </c>
      <c r="C36" s="117" t="n">
        <f aca="false">C35-C30</f>
        <v>-2.40658889317999</v>
      </c>
    </row>
    <row r="37" customFormat="false" ht="14.25" hidden="true" customHeight="false" outlineLevel="0" collapsed="false">
      <c r="C37" s="116"/>
    </row>
    <row r="38" customFormat="false" ht="14.25" hidden="true" customHeight="false" outlineLevel="0" collapsed="false">
      <c r="C38" s="116"/>
    </row>
    <row r="39" customFormat="false" ht="14.25" hidden="true" customHeight="false" outlineLevel="0" collapsed="false">
      <c r="C39" s="116"/>
    </row>
    <row r="40" customFormat="false" ht="14.25" hidden="true" customHeight="false" outlineLevel="0" collapsed="false">
      <c r="B40" s="6" t="s">
        <v>161</v>
      </c>
      <c r="C40" s="1"/>
      <c r="D40" s="1"/>
      <c r="E40" s="1"/>
      <c r="F40" s="1"/>
      <c r="G40" s="1"/>
      <c r="H40" s="1"/>
    </row>
    <row r="41" customFormat="false" ht="14.25" hidden="true" customHeight="false" outlineLevel="0" collapsed="false">
      <c r="B41" s="19" t="s">
        <v>162</v>
      </c>
      <c r="C41" s="2" t="s">
        <v>163</v>
      </c>
      <c r="D41" s="2" t="s">
        <v>164</v>
      </c>
      <c r="E41" s="2" t="s">
        <v>165</v>
      </c>
      <c r="F41" s="2" t="s">
        <v>137</v>
      </c>
      <c r="G41" s="2" t="s">
        <v>166</v>
      </c>
      <c r="H41" s="2" t="s">
        <v>167</v>
      </c>
    </row>
    <row r="42" customFormat="false" ht="14.25" hidden="true" customHeight="false" outlineLevel="0" collapsed="false">
      <c r="C42" s="2"/>
      <c r="D42" s="2"/>
      <c r="E42" s="2"/>
      <c r="F42" s="2"/>
      <c r="G42" s="2"/>
      <c r="H42" s="2"/>
    </row>
    <row r="43" customFormat="false" ht="14.25" hidden="true" customHeight="false" outlineLevel="0" collapsed="false">
      <c r="B43" s="0" t="s">
        <v>168</v>
      </c>
      <c r="C43" s="118" t="n">
        <v>0</v>
      </c>
      <c r="D43" s="118" t="n">
        <f aca="false">-C10*Model!D36*C14*(1-C15)/1000000</f>
        <v>-0.45836756</v>
      </c>
      <c r="E43" s="118" t="n">
        <f aca="false">-C10*Model!D36*C14*C15/1000000</f>
        <v>-4.12530804</v>
      </c>
      <c r="F43" s="118"/>
      <c r="G43" s="118" t="n">
        <f aca="false">-C10*Model!D36*C12/1000000</f>
        <v>-0</v>
      </c>
      <c r="H43" s="118" t="n">
        <f aca="false">SUM(C43:G43)</f>
        <v>-4.5836756</v>
      </c>
    </row>
    <row r="44" customFormat="false" ht="14.25" hidden="true" customHeight="false" outlineLevel="0" collapsed="false">
      <c r="B44" s="0" t="s">
        <v>65</v>
      </c>
      <c r="C44" s="118"/>
      <c r="D44" s="118"/>
      <c r="E44" s="118"/>
      <c r="F44" s="118"/>
      <c r="G44" s="118"/>
      <c r="H44" s="118" t="n">
        <f aca="false">SUM(C44:G44)</f>
        <v>0</v>
      </c>
    </row>
    <row r="45" customFormat="false" ht="14.25" hidden="true" customHeight="false" outlineLevel="0" collapsed="false">
      <c r="B45" s="0" t="s">
        <v>66</v>
      </c>
      <c r="C45" s="118"/>
      <c r="D45" s="118"/>
      <c r="E45" s="118"/>
      <c r="F45" s="118"/>
      <c r="G45" s="118"/>
      <c r="H45" s="118" t="n">
        <f aca="false">SUM(C45:G45)</f>
        <v>0</v>
      </c>
    </row>
    <row r="46" customFormat="false" ht="14.25" hidden="true" customHeight="false" outlineLevel="0" collapsed="false">
      <c r="B46" s="0" t="s">
        <v>67</v>
      </c>
      <c r="C46" s="118"/>
      <c r="D46" s="118"/>
      <c r="E46" s="118"/>
      <c r="F46" s="118" t="n">
        <f aca="false">C16*Model!D13</f>
        <v>-9.3</v>
      </c>
      <c r="G46" s="118"/>
      <c r="H46" s="118" t="n">
        <f aca="false">SUM(C46:G46)</f>
        <v>-9.3</v>
      </c>
    </row>
    <row r="47" customFormat="false" ht="14.25" hidden="true" customHeight="false" outlineLevel="0" collapsed="false">
      <c r="B47" s="0" t="s">
        <v>169</v>
      </c>
      <c r="C47" s="119"/>
      <c r="D47" s="119"/>
      <c r="E47" s="119"/>
      <c r="F47" s="119" t="n">
        <f aca="false">-Model!D13</f>
        <v>6.2</v>
      </c>
      <c r="G47" s="119"/>
      <c r="H47" s="119" t="n">
        <f aca="false">SUM(C47:G47)</f>
        <v>6.2</v>
      </c>
    </row>
    <row r="48" customFormat="false" ht="14.25" hidden="true" customHeight="false" outlineLevel="0" collapsed="false">
      <c r="B48" s="0" t="s">
        <v>71</v>
      </c>
      <c r="C48" s="118" t="n">
        <f aca="false">C46+C47</f>
        <v>0</v>
      </c>
      <c r="D48" s="118" t="n">
        <f aca="false">D46+D47</f>
        <v>0</v>
      </c>
      <c r="E48" s="118" t="n">
        <f aca="false">E46+E47</f>
        <v>0</v>
      </c>
      <c r="F48" s="118" t="n">
        <f aca="false">F46+F47</f>
        <v>-3.1</v>
      </c>
      <c r="G48" s="118" t="n">
        <f aca="false">G46+G47</f>
        <v>0</v>
      </c>
      <c r="H48" s="118" t="n">
        <f aca="false">SUM(C48:G48)</f>
        <v>-3.1</v>
      </c>
    </row>
    <row r="49" customFormat="false" ht="14.25" hidden="true" customHeight="false" outlineLevel="0" collapsed="false">
      <c r="B49" s="0" t="s">
        <v>72</v>
      </c>
      <c r="C49" s="118"/>
      <c r="D49" s="118"/>
      <c r="E49" s="118"/>
      <c r="F49" s="118"/>
      <c r="G49" s="118"/>
      <c r="H49" s="118" t="n">
        <f aca="false">SUM(C49:G49)</f>
        <v>0</v>
      </c>
    </row>
    <row r="50" customFormat="false" ht="14.25" hidden="true" customHeight="false" outlineLevel="0" collapsed="false">
      <c r="B50" s="0" t="s">
        <v>73</v>
      </c>
      <c r="C50" s="120" t="n">
        <f aca="false">C51*C18*-1</f>
        <v>-1.91604</v>
      </c>
      <c r="D50" s="118" t="n">
        <f aca="false">D43*-$C$18*1*55%</f>
        <v>0.05294145318</v>
      </c>
      <c r="E50" s="118" t="n">
        <f aca="false">E43*-$C$18*1*95%</f>
        <v>0.82299895398</v>
      </c>
      <c r="F50" s="118" t="n">
        <f aca="false">F48*C18*-1</f>
        <v>0.651</v>
      </c>
      <c r="G50" s="118"/>
      <c r="H50" s="118" t="n">
        <f aca="false">SUM(C50:G50)</f>
        <v>-0.38909959284</v>
      </c>
    </row>
    <row r="51" customFormat="false" ht="14.25" hidden="true" customHeight="false" outlineLevel="0" collapsed="false">
      <c r="B51" s="0" t="s">
        <v>74</v>
      </c>
      <c r="C51" s="118" t="n">
        <f aca="false">C17*Model!D20</f>
        <v>9.124</v>
      </c>
      <c r="D51" s="118" t="n">
        <v>0</v>
      </c>
      <c r="E51" s="118" t="n">
        <v>0</v>
      </c>
      <c r="F51" s="118"/>
      <c r="G51" s="118" t="n">
        <f aca="false">C36</f>
        <v>-2.40658889317999</v>
      </c>
      <c r="H51" s="118" t="n">
        <f aca="false">SUM(C51:G51)</f>
        <v>6.71741110682001</v>
      </c>
    </row>
    <row r="52" customFormat="false" ht="14.25" hidden="true" customHeight="false" outlineLevel="0" collapsed="false">
      <c r="B52" s="0" t="s">
        <v>75</v>
      </c>
      <c r="C52" s="121" t="n">
        <f aca="false">C43+C45+C48+C51+C50</f>
        <v>7.20796</v>
      </c>
      <c r="D52" s="121" t="n">
        <f aca="false">D43+D45+D48+D51+D50</f>
        <v>-0.40542610682</v>
      </c>
      <c r="E52" s="121" t="n">
        <f aca="false">E43+E45+E48+E51+E50</f>
        <v>-3.30230908602</v>
      </c>
      <c r="F52" s="121" t="n">
        <f aca="false">F43+F45+F48+F51+F50</f>
        <v>-2.449</v>
      </c>
      <c r="G52" s="121" t="n">
        <f aca="false">G43+G45+G48+G51+G50</f>
        <v>-2.40658889317999</v>
      </c>
      <c r="H52" s="121" t="n">
        <f aca="false">SUM(C52:G52)</f>
        <v>-1.35536408601999</v>
      </c>
    </row>
    <row r="53" customFormat="false" ht="14.25" hidden="true" customHeight="false" outlineLevel="0" collapsed="false">
      <c r="C53" s="118"/>
      <c r="D53" s="122"/>
      <c r="E53" s="122"/>
      <c r="F53" s="118"/>
      <c r="G53" s="118"/>
      <c r="H53" s="118"/>
    </row>
    <row r="54" customFormat="false" ht="14.25" hidden="true" customHeight="false" outlineLevel="0" collapsed="false">
      <c r="B54" s="0" t="s">
        <v>76</v>
      </c>
      <c r="C54" s="118"/>
      <c r="D54" s="118"/>
      <c r="E54" s="118"/>
      <c r="F54" s="118"/>
      <c r="G54" s="118"/>
      <c r="H54" s="118" t="n">
        <f aca="false">SUM(C54:G54)</f>
        <v>0</v>
      </c>
    </row>
    <row r="55" customFormat="false" ht="14.25" hidden="true" customHeight="false" outlineLevel="0" collapsed="false">
      <c r="B55" s="0" t="s">
        <v>77</v>
      </c>
      <c r="C55" s="118"/>
      <c r="D55" s="118"/>
      <c r="E55" s="118"/>
      <c r="F55" s="118"/>
      <c r="G55" s="118"/>
      <c r="H55" s="118" t="n">
        <f aca="false">SUM(C55:G55)</f>
        <v>0</v>
      </c>
    </row>
    <row r="56" customFormat="false" ht="14.25" hidden="true" customHeight="false" outlineLevel="0" collapsed="false">
      <c r="B56" s="0" t="s">
        <v>78</v>
      </c>
      <c r="C56" s="118"/>
      <c r="D56" s="118"/>
      <c r="E56" s="118"/>
      <c r="F56" s="118"/>
      <c r="G56" s="118"/>
      <c r="H56" s="118" t="n">
        <f aca="false">SUM(C56:G56)</f>
        <v>0</v>
      </c>
    </row>
    <row r="57" customFormat="false" ht="14.25" hidden="true" customHeight="false" outlineLevel="0" collapsed="false">
      <c r="B57" s="0" t="s">
        <v>79</v>
      </c>
      <c r="C57" s="118"/>
      <c r="D57" s="118"/>
      <c r="E57" s="118"/>
      <c r="F57" s="118"/>
      <c r="G57" s="118"/>
      <c r="H57" s="118" t="n">
        <f aca="false">SUM(C57:G57)</f>
        <v>0</v>
      </c>
    </row>
    <row r="58" customFormat="false" ht="14.25" hidden="true" customHeight="false" outlineLevel="0" collapsed="false">
      <c r="B58" s="0" t="s">
        <v>80</v>
      </c>
      <c r="C58" s="118"/>
      <c r="D58" s="118"/>
      <c r="E58" s="118"/>
      <c r="F58" s="118"/>
      <c r="G58" s="118"/>
      <c r="H58" s="118" t="n">
        <f aca="false">SUM(C58:G58)</f>
        <v>0</v>
      </c>
    </row>
    <row r="59" customFormat="false" ht="14.25" hidden="true" customHeight="false" outlineLevel="0" collapsed="false">
      <c r="B59" s="0" t="s">
        <v>81</v>
      </c>
      <c r="C59" s="118"/>
      <c r="D59" s="118"/>
      <c r="E59" s="118"/>
      <c r="F59" s="118"/>
      <c r="G59" s="118"/>
      <c r="H59" s="118" t="n">
        <f aca="false">SUM(C59:G59)</f>
        <v>0</v>
      </c>
    </row>
    <row r="60" customFormat="false" ht="14.25" hidden="true" customHeight="false" outlineLevel="0" collapsed="false">
      <c r="B60" s="0" t="s">
        <v>82</v>
      </c>
      <c r="C60" s="119"/>
      <c r="D60" s="119"/>
      <c r="E60" s="119"/>
      <c r="F60" s="119"/>
      <c r="G60" s="119"/>
      <c r="H60" s="119" t="n">
        <f aca="false">SUM(C60:G60)</f>
        <v>0</v>
      </c>
    </row>
    <row r="61" customFormat="false" ht="14.25" hidden="true" customHeight="false" outlineLevel="0" collapsed="false">
      <c r="B61" s="0" t="s">
        <v>83</v>
      </c>
      <c r="C61" s="123" t="n">
        <f aca="false">SUM(C54:C60)</f>
        <v>0</v>
      </c>
      <c r="D61" s="123" t="n">
        <f aca="false">SUM(D54:D60)</f>
        <v>0</v>
      </c>
      <c r="E61" s="123" t="n">
        <f aca="false">SUM(E54:E60)</f>
        <v>0</v>
      </c>
      <c r="F61" s="123" t="n">
        <f aca="false">SUM(F54:F60)</f>
        <v>0</v>
      </c>
      <c r="G61" s="123" t="n">
        <f aca="false">SUM(G54:G60)</f>
        <v>0</v>
      </c>
      <c r="H61" s="123" t="n">
        <f aca="false">SUM(C61:G61)</f>
        <v>0</v>
      </c>
    </row>
    <row r="62" customFormat="false" ht="14.25" hidden="true" customHeight="false" outlineLevel="0" collapsed="false">
      <c r="C62" s="118"/>
      <c r="D62" s="118"/>
      <c r="E62" s="118"/>
      <c r="F62" s="118"/>
      <c r="G62" s="118"/>
      <c r="H62" s="118"/>
    </row>
    <row r="63" customFormat="false" ht="14.25" hidden="true" customHeight="false" outlineLevel="0" collapsed="false">
      <c r="B63" s="0" t="s">
        <v>170</v>
      </c>
      <c r="C63" s="118" t="n">
        <f aca="false">C51+C50</f>
        <v>7.20796</v>
      </c>
      <c r="D63" s="118" t="n">
        <f aca="false">D43+D51+D50</f>
        <v>-0.40542610682</v>
      </c>
      <c r="E63" s="118" t="n">
        <f aca="false">E43+E51+E50</f>
        <v>-3.30230908602</v>
      </c>
      <c r="F63" s="118" t="n">
        <f aca="false">F48+F50</f>
        <v>-2.449</v>
      </c>
      <c r="G63" s="118" t="n">
        <f aca="false">G52</f>
        <v>-2.40658889317999</v>
      </c>
      <c r="H63" s="118" t="n">
        <f aca="false">SUM(C63:G63)</f>
        <v>-1.35536408601999</v>
      </c>
    </row>
    <row r="64" customFormat="false" ht="14.25" hidden="true" customHeight="false" outlineLevel="0" collapsed="false">
      <c r="B64" s="0" t="s">
        <v>85</v>
      </c>
      <c r="C64" s="121" t="n">
        <f aca="false">C63</f>
        <v>7.20796</v>
      </c>
      <c r="D64" s="121" t="n">
        <f aca="false">D63</f>
        <v>-0.40542610682</v>
      </c>
      <c r="E64" s="121" t="n">
        <f aca="false">E63</f>
        <v>-3.30230908602</v>
      </c>
      <c r="F64" s="121" t="n">
        <f aca="false">F63</f>
        <v>-2.449</v>
      </c>
      <c r="G64" s="121" t="n">
        <f aca="false">G63</f>
        <v>-2.40658889317999</v>
      </c>
      <c r="H64" s="121" t="n">
        <f aca="false">SUM(C64:G64)</f>
        <v>-1.35536408601999</v>
      </c>
    </row>
    <row r="65" customFormat="false" ht="14.25" hidden="true" customHeight="false" outlineLevel="0" collapsed="false">
      <c r="C65" s="118"/>
      <c r="D65" s="118"/>
      <c r="E65" s="118"/>
      <c r="F65" s="118"/>
      <c r="G65" s="118"/>
      <c r="H65" s="118"/>
    </row>
    <row r="66" customFormat="false" ht="14.25" hidden="true" customHeight="false" outlineLevel="0" collapsed="false">
      <c r="B66" s="0" t="s">
        <v>86</v>
      </c>
      <c r="C66" s="123" t="n">
        <f aca="false">C61+C64</f>
        <v>7.20796</v>
      </c>
      <c r="D66" s="123" t="n">
        <f aca="false">D61+D64</f>
        <v>-0.40542610682</v>
      </c>
      <c r="E66" s="123" t="n">
        <f aca="false">E61+E64</f>
        <v>-3.30230908602</v>
      </c>
      <c r="F66" s="123" t="n">
        <f aca="false">F61+F64</f>
        <v>-2.449</v>
      </c>
      <c r="G66" s="123" t="n">
        <f aca="false">G61+G64</f>
        <v>-2.40658889317999</v>
      </c>
      <c r="H66" s="123" t="n">
        <f aca="false">SUM(C66:G66)</f>
        <v>-1.35536408601999</v>
      </c>
    </row>
    <row r="67" customFormat="false" ht="14.25" hidden="true" customHeight="false" outlineLevel="0" collapsed="false">
      <c r="C67" s="124"/>
      <c r="D67" s="124"/>
      <c r="E67" s="124"/>
      <c r="F67" s="124"/>
      <c r="G67" s="124"/>
      <c r="H67" s="124"/>
    </row>
    <row r="68" customFormat="false" ht="14.25" hidden="true" customHeight="false" outlineLevel="0" collapsed="false">
      <c r="B68" s="0" t="s">
        <v>89</v>
      </c>
      <c r="C68" s="124"/>
      <c r="D68" s="124"/>
      <c r="E68" s="124"/>
      <c r="F68" s="124"/>
      <c r="G68" s="124" t="n">
        <f aca="false">(C10*Model!D36)*C11/Model!B37-Model!D36</f>
        <v>215993.476789168</v>
      </c>
      <c r="H68" s="124" t="n">
        <f aca="false">SUM(C68:G68)</f>
        <v>215993.476789168</v>
      </c>
    </row>
  </sheetData>
  <sheetProtection sheet="true" objects="true" scenarios="true"/>
  <conditionalFormatting sqref="F4:G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2" right="0.2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52.47"/>
    <col collapsed="false" customWidth="true" hidden="false" outlineLevel="0" max="14" min="2" style="0" width="14"/>
  </cols>
  <sheetData>
    <row r="1" customFormat="false" ht="21" hidden="false" customHeight="true" outlineLevel="0" collapsed="false">
      <c r="A1" s="125" t="s">
        <v>171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customFormat="false" ht="21" hidden="false" customHeight="true" outlineLevel="0" collapsed="false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</row>
    <row r="3" customFormat="false" ht="21" hidden="false" customHeight="true" outlineLevel="0" collapsed="false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customFormat="false" ht="21" hidden="false" customHeight="true" outlineLevel="0" collapsed="false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</row>
    <row r="6" customFormat="false" ht="23.25" hidden="false" customHeight="true" outlineLevel="0" collapsed="false">
      <c r="A6" s="132" t="s">
        <v>172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</row>
    <row r="7" customFormat="false" ht="21" hidden="false" customHeight="true" outlineLevel="0" collapsed="false">
      <c r="A7" s="128"/>
      <c r="B7" s="133" t="n">
        <v>2014</v>
      </c>
      <c r="C7" s="133" t="n">
        <v>2015</v>
      </c>
      <c r="D7" s="133" t="n">
        <v>2016</v>
      </c>
      <c r="E7" s="133" t="n">
        <v>2017</v>
      </c>
      <c r="F7" s="133" t="n">
        <v>2018</v>
      </c>
      <c r="G7" s="133" t="n">
        <v>2019</v>
      </c>
      <c r="H7" s="133" t="n">
        <v>2020</v>
      </c>
      <c r="I7" s="133" t="n">
        <v>2021</v>
      </c>
      <c r="J7" s="133" t="n">
        <v>2022</v>
      </c>
      <c r="K7" s="133" t="n">
        <v>2023</v>
      </c>
      <c r="L7" s="133" t="n">
        <v>2024</v>
      </c>
      <c r="M7" s="133" t="n">
        <v>2025</v>
      </c>
      <c r="N7" s="134" t="s">
        <v>173</v>
      </c>
    </row>
    <row r="8" customFormat="false" ht="21" hidden="false" customHeight="true" outlineLevel="0" collapsed="false">
      <c r="A8" s="135" t="s">
        <v>174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</row>
    <row r="9" customFormat="false" ht="21" hidden="false" customHeight="true" outlineLevel="0" collapsed="false">
      <c r="A9" s="137" t="s">
        <v>175</v>
      </c>
      <c r="B9" s="138" t="n">
        <v>134.38</v>
      </c>
      <c r="C9" s="138" t="n">
        <v>136.99</v>
      </c>
      <c r="D9" s="138" t="n">
        <v>130.63</v>
      </c>
      <c r="E9" s="138" t="n">
        <v>159.02</v>
      </c>
      <c r="F9" s="138" t="n">
        <v>166.325</v>
      </c>
      <c r="G9" s="138" t="n">
        <v>157.71</v>
      </c>
      <c r="H9" s="138" t="n">
        <v>134.76</v>
      </c>
      <c r="I9" s="138" t="n">
        <v>152.23</v>
      </c>
      <c r="J9" s="138" t="n">
        <v>153.87</v>
      </c>
      <c r="K9" s="138" t="n">
        <v>124.165</v>
      </c>
      <c r="L9" s="138" t="n">
        <v>129.42</v>
      </c>
      <c r="M9" s="138" t="n">
        <v>142.935</v>
      </c>
      <c r="N9" s="139" t="n">
        <v>145.675</v>
      </c>
    </row>
    <row r="10" customFormat="false" ht="21" hidden="false" customHeight="true" outlineLevel="0" collapsed="false">
      <c r="A10" s="140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</row>
    <row r="11" customFormat="false" ht="21" hidden="false" customHeight="true" outlineLevel="0" collapsed="false">
      <c r="A11" s="135" t="s">
        <v>176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</row>
    <row r="12" customFormat="false" ht="21" hidden="false" customHeight="true" outlineLevel="0" collapsed="false">
      <c r="A12" s="142" t="s">
        <v>177</v>
      </c>
      <c r="B12" s="143" t="n">
        <v>121.04</v>
      </c>
      <c r="C12" s="143" t="n">
        <v>136.5</v>
      </c>
      <c r="D12" s="143" t="n">
        <v>126.87</v>
      </c>
      <c r="E12" s="143" t="n">
        <v>130.41</v>
      </c>
      <c r="F12" s="143" t="n">
        <v>156.01</v>
      </c>
      <c r="G12" s="143" t="n">
        <v>156.31</v>
      </c>
      <c r="H12" s="143" t="n">
        <v>131.36</v>
      </c>
      <c r="I12" s="143" t="n">
        <v>148.03</v>
      </c>
      <c r="J12" s="143" t="n">
        <v>128.495</v>
      </c>
      <c r="K12" s="143" t="n">
        <v>121.88</v>
      </c>
      <c r="L12" s="143" t="n">
        <v>100.8</v>
      </c>
      <c r="M12" s="143" t="n">
        <v>106.62</v>
      </c>
      <c r="N12" s="144" t="n">
        <v>112.255</v>
      </c>
    </row>
    <row r="13" customFormat="false" ht="21" hidden="false" customHeight="true" outlineLevel="0" collapsed="false">
      <c r="A13" s="145" t="s">
        <v>178</v>
      </c>
      <c r="B13" s="141" t="n">
        <v>135.065</v>
      </c>
      <c r="C13" s="141" t="n">
        <v>125.55</v>
      </c>
      <c r="D13" s="141" t="n">
        <v>125.94</v>
      </c>
      <c r="E13" s="141" t="n">
        <v>157.03</v>
      </c>
      <c r="F13" s="141" t="n">
        <v>156.14</v>
      </c>
      <c r="G13" s="141" t="n">
        <v>148.545</v>
      </c>
      <c r="H13" s="141" t="n">
        <v>127.23</v>
      </c>
      <c r="I13" s="141" t="n">
        <v>153.7</v>
      </c>
      <c r="J13" s="141" t="n">
        <v>153.42</v>
      </c>
      <c r="K13" s="141" t="n">
        <v>127</v>
      </c>
      <c r="L13" s="141" t="n">
        <v>134.62</v>
      </c>
      <c r="M13" s="141" t="n">
        <v>131.13</v>
      </c>
      <c r="N13" s="146" t="n">
        <v>150.8</v>
      </c>
    </row>
    <row r="14" customFormat="false" ht="21" hidden="false" customHeight="true" outlineLevel="0" collapsed="false">
      <c r="A14" s="145" t="s">
        <v>179</v>
      </c>
      <c r="B14" s="141" t="n">
        <v>141.195</v>
      </c>
      <c r="C14" s="141" t="n">
        <v>141.31</v>
      </c>
      <c r="D14" s="141" t="n">
        <v>149.65</v>
      </c>
      <c r="E14" s="141" t="n">
        <v>147.74</v>
      </c>
      <c r="F14" s="141" t="n">
        <v>173.79</v>
      </c>
      <c r="G14" s="141" t="n">
        <v>151.915</v>
      </c>
      <c r="H14" s="141" t="n">
        <v>170.82</v>
      </c>
      <c r="I14" s="141" t="n">
        <v>158.04</v>
      </c>
      <c r="J14" s="141" t="n">
        <v>136.87</v>
      </c>
      <c r="K14" s="141" t="n">
        <v>114.48</v>
      </c>
      <c r="L14" s="141" t="n">
        <v>138.8</v>
      </c>
      <c r="M14" s="141" t="n">
        <v>99.75</v>
      </c>
      <c r="N14" s="146" t="n">
        <v>165.485</v>
      </c>
    </row>
    <row r="15" customFormat="false" ht="21" hidden="false" customHeight="true" outlineLevel="0" collapsed="false">
      <c r="A15" s="145" t="s">
        <v>180</v>
      </c>
      <c r="B15" s="141" t="n">
        <v>136.16</v>
      </c>
      <c r="C15" s="141" t="n">
        <v>141.235</v>
      </c>
      <c r="D15" s="141" t="n">
        <v>130.61</v>
      </c>
      <c r="E15" s="141" t="n">
        <v>161.835</v>
      </c>
      <c r="F15" s="141" t="n">
        <v>178.01</v>
      </c>
      <c r="G15" s="141" t="n">
        <v>158.06</v>
      </c>
      <c r="H15" s="141" t="n">
        <v>129.99</v>
      </c>
      <c r="I15" s="141" t="n">
        <v>151.48</v>
      </c>
      <c r="J15" s="141" t="n">
        <v>172.93</v>
      </c>
      <c r="K15" s="141" t="n">
        <v>132.4</v>
      </c>
      <c r="L15" s="141" t="n">
        <v>132.97</v>
      </c>
      <c r="M15" s="141" t="n">
        <v>166.27</v>
      </c>
      <c r="N15" s="146" t="n">
        <v>193.92</v>
      </c>
    </row>
    <row r="16" customFormat="false" ht="21" hidden="false" customHeight="true" outlineLevel="0" collapsed="false">
      <c r="A16" s="145" t="s">
        <v>181</v>
      </c>
      <c r="B16" s="141" t="n">
        <v>145.33</v>
      </c>
      <c r="C16" s="141" t="n">
        <v>151.84</v>
      </c>
      <c r="D16" s="141" t="n">
        <v>159.73</v>
      </c>
      <c r="E16" s="141" t="n">
        <v>187.14</v>
      </c>
      <c r="F16" s="141" t="n">
        <v>189.12</v>
      </c>
      <c r="G16" s="141" t="n">
        <v>165.73</v>
      </c>
      <c r="H16" s="141" t="n">
        <v>159.52</v>
      </c>
      <c r="I16" s="141" t="n">
        <v>157.09</v>
      </c>
      <c r="J16" s="141" t="n">
        <v>173.67</v>
      </c>
      <c r="K16" s="141" t="n">
        <v>173.14</v>
      </c>
      <c r="L16" s="141" t="n">
        <v>147.67</v>
      </c>
      <c r="M16" s="141" t="n">
        <v>150.86</v>
      </c>
      <c r="N16" s="146" t="n">
        <v>147.365</v>
      </c>
    </row>
    <row r="17" customFormat="false" ht="21" hidden="false" customHeight="true" outlineLevel="0" collapsed="false">
      <c r="A17" s="147" t="s">
        <v>182</v>
      </c>
      <c r="B17" s="148" t="n">
        <v>125.9</v>
      </c>
      <c r="C17" s="148" t="n">
        <v>130.37</v>
      </c>
      <c r="D17" s="148" t="n">
        <v>131.12</v>
      </c>
      <c r="E17" s="148" t="n">
        <v>183.93</v>
      </c>
      <c r="F17" s="148" t="n">
        <v>181.51</v>
      </c>
      <c r="G17" s="148" t="n">
        <v>168.02</v>
      </c>
      <c r="H17" s="148" t="n">
        <v>140.62</v>
      </c>
      <c r="I17" s="148" t="n">
        <v>151.625</v>
      </c>
      <c r="J17" s="148" t="n">
        <v>151.07</v>
      </c>
      <c r="K17" s="148" t="n">
        <v>97.44</v>
      </c>
      <c r="L17" s="148" t="n">
        <v>137.22</v>
      </c>
      <c r="M17" s="148" t="n">
        <v>151.15</v>
      </c>
      <c r="N17" s="149" t="n">
        <v>125.03</v>
      </c>
    </row>
    <row r="18" customFormat="false" ht="21" hidden="false" customHeight="true" outlineLevel="0" collapsed="false">
      <c r="A18" s="140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</row>
    <row r="19" customFormat="false" ht="21" hidden="false" customHeight="true" outlineLevel="0" collapsed="false">
      <c r="A19" s="135" t="s">
        <v>183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</row>
    <row r="20" customFormat="false" ht="21" hidden="false" customHeight="true" outlineLevel="0" collapsed="false">
      <c r="A20" s="142" t="s">
        <v>184</v>
      </c>
      <c r="B20" s="143" t="n">
        <v>101.655</v>
      </c>
      <c r="C20" s="143" t="n">
        <v>101.44</v>
      </c>
      <c r="D20" s="143" t="n">
        <v>101.53</v>
      </c>
      <c r="E20" s="143" t="n">
        <v>108.07</v>
      </c>
      <c r="F20" s="143" t="n">
        <v>118.035</v>
      </c>
      <c r="G20" s="143" t="n">
        <v>95</v>
      </c>
      <c r="H20" s="143" t="n">
        <v>112.47</v>
      </c>
      <c r="I20" s="143" t="n">
        <v>151.48</v>
      </c>
      <c r="J20" s="143" t="n">
        <v>125.165</v>
      </c>
      <c r="K20" s="143" t="s">
        <v>185</v>
      </c>
      <c r="L20" s="143" t="n">
        <v>65.24</v>
      </c>
      <c r="M20" s="143" t="s">
        <v>185</v>
      </c>
      <c r="N20" s="144" t="s">
        <v>185</v>
      </c>
    </row>
    <row r="21" customFormat="false" ht="21" hidden="false" customHeight="true" outlineLevel="0" collapsed="false">
      <c r="A21" s="145" t="s">
        <v>186</v>
      </c>
      <c r="B21" s="141" t="n">
        <v>125.93</v>
      </c>
      <c r="C21" s="141" t="n">
        <v>129.755</v>
      </c>
      <c r="D21" s="141" t="n">
        <v>127.535</v>
      </c>
      <c r="E21" s="141" t="n">
        <v>144.23</v>
      </c>
      <c r="F21" s="141" t="n">
        <v>153</v>
      </c>
      <c r="G21" s="141" t="n">
        <v>146.94</v>
      </c>
      <c r="H21" s="141" t="n">
        <v>136.325</v>
      </c>
      <c r="I21" s="141" t="n">
        <v>135.79</v>
      </c>
      <c r="J21" s="141" t="n">
        <v>142.62</v>
      </c>
      <c r="K21" s="141" t="n">
        <v>127</v>
      </c>
      <c r="L21" s="141" t="n">
        <v>128.37</v>
      </c>
      <c r="M21" s="141" t="n">
        <v>126.24</v>
      </c>
      <c r="N21" s="146" t="n">
        <v>127.235</v>
      </c>
    </row>
    <row r="22" customFormat="false" ht="21" hidden="false" customHeight="true" outlineLevel="0" collapsed="false">
      <c r="A22" s="145" t="s">
        <v>187</v>
      </c>
      <c r="B22" s="141" t="n">
        <v>145.06</v>
      </c>
      <c r="C22" s="141" t="n">
        <v>144.14</v>
      </c>
      <c r="D22" s="141" t="n">
        <v>161.48</v>
      </c>
      <c r="E22" s="141" t="n">
        <v>189.515</v>
      </c>
      <c r="F22" s="141" t="n">
        <v>178.68</v>
      </c>
      <c r="G22" s="141" t="n">
        <v>162.485</v>
      </c>
      <c r="H22" s="141" t="n">
        <v>139.91</v>
      </c>
      <c r="I22" s="141" t="n">
        <v>147.3</v>
      </c>
      <c r="J22" s="141" t="n">
        <v>154.215</v>
      </c>
      <c r="K22" s="141" t="n">
        <v>135.235</v>
      </c>
      <c r="L22" s="141" t="n">
        <v>128.46</v>
      </c>
      <c r="M22" s="141" t="n">
        <v>123.25</v>
      </c>
      <c r="N22" s="146" t="n">
        <v>127.79</v>
      </c>
    </row>
    <row r="23" customFormat="false" ht="21" hidden="false" customHeight="true" outlineLevel="0" collapsed="false">
      <c r="A23" s="145" t="s">
        <v>188</v>
      </c>
      <c r="B23" s="141" t="n">
        <v>174.425</v>
      </c>
      <c r="C23" s="141" t="n">
        <v>174.05</v>
      </c>
      <c r="D23" s="141" t="n">
        <v>165.02</v>
      </c>
      <c r="E23" s="141" t="n">
        <v>188.08</v>
      </c>
      <c r="F23" s="141" t="n">
        <v>188.265</v>
      </c>
      <c r="G23" s="141" t="n">
        <v>171.97</v>
      </c>
      <c r="H23" s="141" t="n">
        <v>151.2</v>
      </c>
      <c r="I23" s="141" t="n">
        <v>155.22</v>
      </c>
      <c r="J23" s="141" t="n">
        <v>167.465</v>
      </c>
      <c r="K23" s="141" t="n">
        <v>114.12</v>
      </c>
      <c r="L23" s="141" t="n">
        <v>132.38</v>
      </c>
      <c r="M23" s="141" t="n">
        <v>151.33</v>
      </c>
      <c r="N23" s="146" t="n">
        <v>158.51</v>
      </c>
    </row>
    <row r="24" customFormat="false" ht="21" hidden="false" customHeight="true" outlineLevel="0" collapsed="false">
      <c r="A24" s="147" t="s">
        <v>189</v>
      </c>
      <c r="B24" s="148" t="n">
        <v>147.89</v>
      </c>
      <c r="C24" s="148" t="n">
        <v>221.765</v>
      </c>
      <c r="D24" s="148" t="n">
        <v>211.96</v>
      </c>
      <c r="E24" s="148" t="n">
        <v>237.215</v>
      </c>
      <c r="F24" s="148" t="n">
        <v>235.965</v>
      </c>
      <c r="G24" s="148" t="n">
        <v>159.79</v>
      </c>
      <c r="H24" s="148" t="n">
        <v>144.21</v>
      </c>
      <c r="I24" s="148" t="n">
        <v>166.53</v>
      </c>
      <c r="J24" s="148" t="n">
        <v>125.755</v>
      </c>
      <c r="K24" s="148" t="n">
        <v>114.48</v>
      </c>
      <c r="L24" s="148" t="n">
        <v>146.825</v>
      </c>
      <c r="M24" s="148" t="n">
        <v>161.41</v>
      </c>
      <c r="N24" s="149" t="n">
        <v>180.81</v>
      </c>
    </row>
    <row r="25" customFormat="false" ht="21" hidden="false" customHeight="true" outlineLevel="0" collapsed="false">
      <c r="A25" s="140" t="s">
        <v>190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</row>
    <row r="26" customFormat="false" ht="21" hidden="false" customHeight="true" outlineLevel="0" collapsed="false">
      <c r="A26" s="140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</row>
    <row r="27" customFormat="false" ht="21" hidden="false" customHeight="true" outlineLevel="0" collapsed="false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</row>
    <row r="28" customFormat="false" ht="23.25" hidden="false" customHeight="true" outlineLevel="0" collapsed="false">
      <c r="A28" s="132" t="s">
        <v>191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customFormat="false" ht="21" hidden="false" customHeight="true" outlineLevel="0" collapsed="false">
      <c r="A29" s="128"/>
      <c r="B29" s="133" t="n">
        <v>2014</v>
      </c>
      <c r="C29" s="133" t="n">
        <v>2015</v>
      </c>
      <c r="D29" s="133" t="n">
        <v>2016</v>
      </c>
      <c r="E29" s="133" t="n">
        <v>2017</v>
      </c>
      <c r="F29" s="133" t="n">
        <v>2018</v>
      </c>
      <c r="G29" s="133" t="n">
        <v>2019</v>
      </c>
      <c r="H29" s="133" t="n">
        <v>2020</v>
      </c>
      <c r="I29" s="133" t="n">
        <v>2021</v>
      </c>
      <c r="J29" s="133" t="n">
        <v>2022</v>
      </c>
      <c r="K29" s="133" t="n">
        <v>2023</v>
      </c>
      <c r="L29" s="133" t="n">
        <v>2024</v>
      </c>
      <c r="M29" s="134" t="n">
        <v>2025</v>
      </c>
      <c r="N29" s="133" t="n">
        <v>2026</v>
      </c>
    </row>
    <row r="30" customFormat="false" ht="21" hidden="false" customHeight="true" outlineLevel="0" collapsed="false">
      <c r="A30" s="135" t="s">
        <v>174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</row>
    <row r="31" customFormat="false" ht="21" hidden="false" customHeight="true" outlineLevel="0" collapsed="false">
      <c r="A31" s="137" t="s">
        <v>175</v>
      </c>
      <c r="B31" s="138" t="n">
        <v>21.82</v>
      </c>
      <c r="C31" s="138" t="n">
        <v>22.45</v>
      </c>
      <c r="D31" s="138" t="n">
        <v>20.025</v>
      </c>
      <c r="E31" s="138" t="n">
        <v>21.435</v>
      </c>
      <c r="F31" s="138" t="n">
        <v>24.015</v>
      </c>
      <c r="G31" s="138" t="n">
        <v>16.05</v>
      </c>
      <c r="H31" s="138" t="n">
        <v>17.12</v>
      </c>
      <c r="I31" s="138" t="n">
        <v>14.935</v>
      </c>
      <c r="J31" s="138" t="n">
        <v>14.325</v>
      </c>
      <c r="K31" s="138" t="n">
        <v>11.08</v>
      </c>
      <c r="L31" s="138" t="n">
        <v>16.35</v>
      </c>
      <c r="M31" s="138" t="n">
        <v>15.425</v>
      </c>
      <c r="N31" s="139" t="n">
        <v>14.18</v>
      </c>
    </row>
    <row r="32" customFormat="false" ht="21" hidden="false" customHeight="true" outlineLevel="0" collapsed="false">
      <c r="A32" s="140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</row>
    <row r="33" customFormat="false" ht="21" hidden="false" customHeight="true" outlineLevel="0" collapsed="false">
      <c r="A33" s="135" t="s">
        <v>176</v>
      </c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</row>
    <row r="34" customFormat="false" ht="21" hidden="false" customHeight="true" outlineLevel="0" collapsed="false">
      <c r="A34" s="142" t="s">
        <v>177</v>
      </c>
      <c r="B34" s="143" t="n">
        <v>21.82</v>
      </c>
      <c r="C34" s="143" t="n">
        <v>22.945</v>
      </c>
      <c r="D34" s="143" t="n">
        <v>20.785</v>
      </c>
      <c r="E34" s="143" t="n">
        <v>28.65</v>
      </c>
      <c r="F34" s="143" t="n">
        <v>24.9</v>
      </c>
      <c r="G34" s="143" t="n">
        <v>15.86</v>
      </c>
      <c r="H34" s="143" t="n">
        <v>17.205</v>
      </c>
      <c r="I34" s="143" t="n">
        <v>18</v>
      </c>
      <c r="J34" s="143" t="n">
        <v>16.34</v>
      </c>
      <c r="K34" s="143" t="n">
        <v>10.48</v>
      </c>
      <c r="L34" s="143" t="n">
        <v>16.35</v>
      </c>
      <c r="M34" s="143" t="n">
        <v>16.415</v>
      </c>
      <c r="N34" s="144" t="n">
        <v>25.43</v>
      </c>
    </row>
    <row r="35" customFormat="false" ht="21" hidden="false" customHeight="true" outlineLevel="0" collapsed="false">
      <c r="A35" s="145" t="s">
        <v>178</v>
      </c>
      <c r="B35" s="141" t="n">
        <v>20.99</v>
      </c>
      <c r="C35" s="141" t="n">
        <v>17.93</v>
      </c>
      <c r="D35" s="141" t="n">
        <v>19.58</v>
      </c>
      <c r="E35" s="141" t="n">
        <v>20.07</v>
      </c>
      <c r="F35" s="141" t="n">
        <v>19.94</v>
      </c>
      <c r="G35" s="141" t="n">
        <v>15.22</v>
      </c>
      <c r="H35" s="141" t="n">
        <v>20.95</v>
      </c>
      <c r="I35" s="141" t="n">
        <v>16.285</v>
      </c>
      <c r="J35" s="141" t="n">
        <v>14.29</v>
      </c>
      <c r="K35" s="141" t="n">
        <v>15.555</v>
      </c>
      <c r="L35" s="141" t="n">
        <v>14.5</v>
      </c>
      <c r="M35" s="141" t="n">
        <v>14.3</v>
      </c>
      <c r="N35" s="146" t="n">
        <v>12.12</v>
      </c>
    </row>
    <row r="36" customFormat="false" ht="21" hidden="false" customHeight="true" outlineLevel="0" collapsed="false">
      <c r="A36" s="145" t="s">
        <v>179</v>
      </c>
      <c r="B36" s="141" t="n">
        <v>26.39</v>
      </c>
      <c r="C36" s="141" t="n">
        <v>35.48</v>
      </c>
      <c r="D36" s="141" t="n">
        <v>32.795</v>
      </c>
      <c r="E36" s="141" t="n">
        <v>28.535</v>
      </c>
      <c r="F36" s="141" t="n">
        <v>32.445</v>
      </c>
      <c r="G36" s="141" t="n">
        <v>21.43</v>
      </c>
      <c r="H36" s="141" t="n">
        <v>45.245</v>
      </c>
      <c r="I36" s="141" t="n">
        <v>17.36</v>
      </c>
      <c r="J36" s="141" t="n">
        <v>14.36</v>
      </c>
      <c r="K36" s="141" t="n">
        <v>11.08</v>
      </c>
      <c r="L36" s="141" t="n">
        <v>15.54</v>
      </c>
      <c r="M36" s="141" t="n">
        <v>32.96</v>
      </c>
      <c r="N36" s="146" t="n">
        <v>12.81</v>
      </c>
    </row>
    <row r="37" customFormat="false" ht="21" hidden="false" customHeight="true" outlineLevel="0" collapsed="false">
      <c r="A37" s="145" t="s">
        <v>180</v>
      </c>
      <c r="B37" s="141" t="n">
        <v>23.075</v>
      </c>
      <c r="C37" s="141" t="n">
        <v>22.79</v>
      </c>
      <c r="D37" s="141" t="n">
        <v>19.5</v>
      </c>
      <c r="E37" s="141" t="n">
        <v>22.9</v>
      </c>
      <c r="F37" s="141" t="n">
        <v>24.16</v>
      </c>
      <c r="G37" s="141" t="n">
        <v>16.82</v>
      </c>
      <c r="H37" s="141" t="n">
        <v>14.055</v>
      </c>
      <c r="I37" s="141" t="n">
        <v>13.815</v>
      </c>
      <c r="J37" s="141" t="n">
        <v>14.4</v>
      </c>
      <c r="K37" s="141" t="n">
        <v>10.59</v>
      </c>
      <c r="L37" s="141" t="n">
        <v>16.905</v>
      </c>
      <c r="M37" s="141" t="n">
        <v>14.95</v>
      </c>
      <c r="N37" s="146" t="n">
        <v>15.58</v>
      </c>
    </row>
    <row r="38" customFormat="false" ht="21" hidden="false" customHeight="true" outlineLevel="0" collapsed="false">
      <c r="A38" s="145" t="s">
        <v>181</v>
      </c>
      <c r="B38" s="141" t="n">
        <v>17.1</v>
      </c>
      <c r="C38" s="141" t="n">
        <v>22.07</v>
      </c>
      <c r="D38" s="141" t="n">
        <v>20.95</v>
      </c>
      <c r="E38" s="141" t="n">
        <v>17</v>
      </c>
      <c r="F38" s="141" t="n">
        <v>21.005</v>
      </c>
      <c r="G38" s="141" t="n">
        <v>15.94</v>
      </c>
      <c r="H38" s="141" t="n">
        <v>13.43</v>
      </c>
      <c r="I38" s="141" t="n">
        <v>14.41</v>
      </c>
      <c r="J38" s="141" t="n">
        <v>13.985</v>
      </c>
      <c r="K38" s="141" t="n">
        <v>22.21</v>
      </c>
      <c r="L38" s="141" t="n">
        <v>19.79</v>
      </c>
      <c r="M38" s="141" t="n">
        <v>14.56</v>
      </c>
      <c r="N38" s="146" t="n">
        <v>20.435</v>
      </c>
    </row>
    <row r="39" customFormat="false" ht="21" hidden="false" customHeight="true" outlineLevel="0" collapsed="false">
      <c r="A39" s="147" t="s">
        <v>182</v>
      </c>
      <c r="B39" s="148" t="n">
        <v>23.515</v>
      </c>
      <c r="C39" s="148" t="n">
        <v>23.29</v>
      </c>
      <c r="D39" s="148" t="n">
        <v>23.24</v>
      </c>
      <c r="E39" s="148" t="n">
        <v>21.98</v>
      </c>
      <c r="F39" s="148" t="n">
        <v>25.8</v>
      </c>
      <c r="G39" s="148" t="n">
        <v>15.34</v>
      </c>
      <c r="H39" s="148" t="n">
        <v>16.56</v>
      </c>
      <c r="I39" s="148" t="n">
        <v>14.66</v>
      </c>
      <c r="J39" s="148" t="n">
        <v>13.3</v>
      </c>
      <c r="K39" s="148" t="n">
        <v>9.88</v>
      </c>
      <c r="L39" s="148" t="n">
        <v>16.44</v>
      </c>
      <c r="M39" s="148" t="n">
        <v>17.26</v>
      </c>
      <c r="N39" s="149" t="n">
        <v>33.585</v>
      </c>
    </row>
    <row r="40" customFormat="false" ht="21" hidden="false" customHeight="true" outlineLevel="0" collapsed="false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</row>
    <row r="41" customFormat="false" ht="21" hidden="false" customHeight="true" outlineLevel="0" collapsed="false">
      <c r="A41" s="135" t="s">
        <v>183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</row>
    <row r="42" customFormat="false" ht="21" hidden="false" customHeight="true" outlineLevel="0" collapsed="false">
      <c r="A42" s="142" t="s">
        <v>184</v>
      </c>
      <c r="B42" s="143" t="n">
        <v>27.645</v>
      </c>
      <c r="C42" s="143" t="n">
        <v>18.84</v>
      </c>
      <c r="D42" s="143" t="n">
        <v>24.745</v>
      </c>
      <c r="E42" s="143" t="n">
        <v>25.655</v>
      </c>
      <c r="F42" s="143" t="n">
        <v>14.31</v>
      </c>
      <c r="G42" s="143" t="n">
        <v>16.955</v>
      </c>
      <c r="H42" s="143" t="n">
        <v>33.05</v>
      </c>
      <c r="I42" s="143" t="n">
        <v>43.27</v>
      </c>
      <c r="J42" s="143" t="n">
        <v>29.605</v>
      </c>
      <c r="K42" s="143" t="s">
        <v>185</v>
      </c>
      <c r="L42" s="143" t="n">
        <v>20.32</v>
      </c>
      <c r="M42" s="143" t="s">
        <v>185</v>
      </c>
      <c r="N42" s="144" t="s">
        <v>185</v>
      </c>
    </row>
    <row r="43" customFormat="false" ht="21" hidden="false" customHeight="true" outlineLevel="0" collapsed="false">
      <c r="A43" s="145" t="s">
        <v>186</v>
      </c>
      <c r="B43" s="141" t="n">
        <v>24.83</v>
      </c>
      <c r="C43" s="141" t="n">
        <v>22.79</v>
      </c>
      <c r="D43" s="141" t="n">
        <v>19.79</v>
      </c>
      <c r="E43" s="141" t="n">
        <v>20.63</v>
      </c>
      <c r="F43" s="141" t="n">
        <v>23.37</v>
      </c>
      <c r="G43" s="141" t="n">
        <v>17.57</v>
      </c>
      <c r="H43" s="141" t="n">
        <v>24.07</v>
      </c>
      <c r="I43" s="141" t="n">
        <v>14.66</v>
      </c>
      <c r="J43" s="141" t="n">
        <v>12.94</v>
      </c>
      <c r="K43" s="141" t="n">
        <v>18.79</v>
      </c>
      <c r="L43" s="141" t="n">
        <v>21.11</v>
      </c>
      <c r="M43" s="141" t="n">
        <v>24.06</v>
      </c>
      <c r="N43" s="146" t="n">
        <v>22.065</v>
      </c>
    </row>
    <row r="44" customFormat="false" ht="21" hidden="false" customHeight="true" outlineLevel="0" collapsed="false">
      <c r="A44" s="145" t="s">
        <v>187</v>
      </c>
      <c r="B44" s="141" t="n">
        <v>20.33</v>
      </c>
      <c r="C44" s="141" t="n">
        <v>19.005</v>
      </c>
      <c r="D44" s="141" t="n">
        <v>18.455</v>
      </c>
      <c r="E44" s="141" t="n">
        <v>18.64</v>
      </c>
      <c r="F44" s="141" t="n">
        <v>21.3</v>
      </c>
      <c r="G44" s="141" t="n">
        <v>16.37</v>
      </c>
      <c r="H44" s="141" t="n">
        <v>13.71</v>
      </c>
      <c r="I44" s="141" t="n">
        <v>13.81</v>
      </c>
      <c r="J44" s="141" t="n">
        <v>14.75</v>
      </c>
      <c r="K44" s="141" t="n">
        <v>9.73</v>
      </c>
      <c r="L44" s="141" t="n">
        <v>17.19</v>
      </c>
      <c r="M44" s="141" t="n">
        <v>14.22</v>
      </c>
      <c r="N44" s="146" t="n">
        <v>13.86</v>
      </c>
    </row>
    <row r="45" customFormat="false" ht="21" hidden="false" customHeight="true" outlineLevel="0" collapsed="false">
      <c r="A45" s="145" t="s">
        <v>188</v>
      </c>
      <c r="B45" s="141" t="n">
        <v>22.225</v>
      </c>
      <c r="C45" s="141" t="n">
        <v>23.47</v>
      </c>
      <c r="D45" s="141" t="n">
        <v>21.49</v>
      </c>
      <c r="E45" s="141" t="n">
        <v>21.05</v>
      </c>
      <c r="F45" s="141" t="n">
        <v>26.995</v>
      </c>
      <c r="G45" s="141" t="n">
        <v>15.4</v>
      </c>
      <c r="H45" s="141" t="n">
        <v>13.43</v>
      </c>
      <c r="I45" s="141" t="n">
        <v>16.275</v>
      </c>
      <c r="J45" s="141" t="n">
        <v>14.38</v>
      </c>
      <c r="K45" s="141" t="n">
        <v>9.275</v>
      </c>
      <c r="L45" s="141" t="n">
        <v>15.38</v>
      </c>
      <c r="M45" s="141" t="n">
        <v>14.62</v>
      </c>
      <c r="N45" s="146" t="n">
        <v>14.13</v>
      </c>
    </row>
    <row r="46" customFormat="false" ht="21" hidden="false" customHeight="true" outlineLevel="0" collapsed="false">
      <c r="A46" s="147" t="s">
        <v>189</v>
      </c>
      <c r="B46" s="148" t="n">
        <v>15.405</v>
      </c>
      <c r="C46" s="148" t="n">
        <v>20.31</v>
      </c>
      <c r="D46" s="148" t="n">
        <v>21.67</v>
      </c>
      <c r="E46" s="148" t="n">
        <v>23.37</v>
      </c>
      <c r="F46" s="148" t="n">
        <v>24.885</v>
      </c>
      <c r="G46" s="148" t="n">
        <v>12.605</v>
      </c>
      <c r="H46" s="148" t="n">
        <v>20.97</v>
      </c>
      <c r="I46" s="148" t="n">
        <v>14.82</v>
      </c>
      <c r="J46" s="148" t="n">
        <v>9.87</v>
      </c>
      <c r="K46" s="148" t="n">
        <v>11.08</v>
      </c>
      <c r="L46" s="148" t="n">
        <v>15.4</v>
      </c>
      <c r="M46" s="148" t="n">
        <v>14.61</v>
      </c>
      <c r="N46" s="149" t="n">
        <v>16.225</v>
      </c>
    </row>
    <row r="47" customFormat="false" ht="21" hidden="false" customHeight="true" outlineLevel="0" collapsed="false">
      <c r="A47" s="140" t="s">
        <v>190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</row>
    <row r="48" customFormat="false" ht="21" hidden="false" customHeight="true" outlineLevel="0" collapsed="false">
      <c r="A48" s="140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</row>
    <row r="49" customFormat="false" ht="21" hidden="false" customHeight="true" outlineLevel="0" collapsed="false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</row>
    <row r="50" customFormat="false" ht="23.25" hidden="false" customHeight="true" outlineLevel="0" collapsed="false">
      <c r="A50" s="132" t="s">
        <v>192</v>
      </c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</row>
    <row r="51" customFormat="false" ht="21" hidden="false" customHeight="true" outlineLevel="0" collapsed="false">
      <c r="A51" s="128"/>
      <c r="B51" s="133" t="n">
        <v>2014</v>
      </c>
      <c r="C51" s="133" t="n">
        <v>2015</v>
      </c>
      <c r="D51" s="133" t="n">
        <v>2016</v>
      </c>
      <c r="E51" s="133" t="n">
        <v>2017</v>
      </c>
      <c r="F51" s="133" t="n">
        <v>2018</v>
      </c>
      <c r="G51" s="133" t="n">
        <v>2019</v>
      </c>
      <c r="H51" s="133" t="n">
        <v>2020</v>
      </c>
      <c r="I51" s="133" t="n">
        <v>2021</v>
      </c>
      <c r="J51" s="133" t="n">
        <v>2022</v>
      </c>
      <c r="K51" s="133" t="n">
        <v>2023</v>
      </c>
      <c r="L51" s="133" t="n">
        <v>2024</v>
      </c>
      <c r="M51" s="134" t="n">
        <v>2025</v>
      </c>
      <c r="N51" s="133" t="n">
        <v>2026</v>
      </c>
    </row>
    <row r="52" customFormat="false" ht="21" hidden="false" customHeight="true" outlineLevel="0" collapsed="false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</row>
    <row r="53" customFormat="false" ht="21" hidden="false" customHeight="true" outlineLevel="0" collapsed="false">
      <c r="A53" s="150" t="s">
        <v>193</v>
      </c>
      <c r="B53" s="151" t="n">
        <v>18805.193</v>
      </c>
      <c r="C53" s="151" t="n">
        <v>24515.035</v>
      </c>
      <c r="D53" s="151" t="n">
        <v>26800.448</v>
      </c>
      <c r="E53" s="151" t="n">
        <v>26441.19775</v>
      </c>
      <c r="F53" s="151" t="n">
        <v>29609.514057</v>
      </c>
      <c r="G53" s="151" t="n">
        <v>55032.176583</v>
      </c>
      <c r="H53" s="151" t="n">
        <v>27839.502461</v>
      </c>
      <c r="I53" s="151" t="n">
        <v>76731.535904</v>
      </c>
      <c r="J53" s="151" t="n">
        <v>8948.607123</v>
      </c>
      <c r="K53" s="151" t="n">
        <v>4140.489997</v>
      </c>
      <c r="L53" s="151" t="n">
        <v>16478.570205</v>
      </c>
      <c r="M53" s="151" t="n">
        <v>50503.919421</v>
      </c>
      <c r="N53" s="152" t="n">
        <v>16978.717176</v>
      </c>
    </row>
    <row r="54" customFormat="false" ht="21" hidden="false" customHeight="true" outlineLevel="0" collapsed="false">
      <c r="A54" s="153" t="s">
        <v>194</v>
      </c>
      <c r="B54" s="136" t="n">
        <v>285</v>
      </c>
      <c r="C54" s="136" t="n">
        <v>280</v>
      </c>
      <c r="D54" s="136" t="n">
        <v>243</v>
      </c>
      <c r="E54" s="136" t="n">
        <v>253</v>
      </c>
      <c r="F54" s="136" t="n">
        <v>253</v>
      </c>
      <c r="G54" s="136" t="n">
        <v>257</v>
      </c>
      <c r="H54" s="136" t="n">
        <v>112</v>
      </c>
      <c r="I54" s="136" t="n">
        <v>201</v>
      </c>
      <c r="J54" s="136" t="n">
        <v>156</v>
      </c>
      <c r="K54" s="136" t="n">
        <v>97</v>
      </c>
      <c r="L54" s="136" t="n">
        <v>127</v>
      </c>
      <c r="M54" s="136" t="n">
        <v>186</v>
      </c>
      <c r="N54" s="154" t="n">
        <v>64</v>
      </c>
    </row>
    <row r="55" customFormat="false" ht="21" hidden="false" customHeight="true" outlineLevel="0" collapsed="false">
      <c r="A55" s="155" t="s">
        <v>195</v>
      </c>
      <c r="B55" s="156" t="n">
        <v>106.8476875</v>
      </c>
      <c r="C55" s="156" t="n">
        <v>143.362777777778</v>
      </c>
      <c r="D55" s="156" t="n">
        <v>166.462409937888</v>
      </c>
      <c r="E55" s="156" t="n">
        <v>155.536457352941</v>
      </c>
      <c r="F55" s="156" t="n">
        <v>187.401987702532</v>
      </c>
      <c r="G55" s="156" t="n">
        <v>379.532252296552</v>
      </c>
      <c r="H55" s="156" t="n">
        <v>545.87259727451</v>
      </c>
      <c r="I55" s="156" t="n">
        <v>717.117157981308</v>
      </c>
      <c r="J55" s="156" t="n">
        <v>135.584956409091</v>
      </c>
      <c r="K55" s="156" t="n">
        <v>147.87464275</v>
      </c>
      <c r="L55" s="156" t="n">
        <v>299.610367363636</v>
      </c>
      <c r="M55" s="156" t="n">
        <v>271.5264485</v>
      </c>
      <c r="N55" s="157" t="n">
        <v>265.292455875</v>
      </c>
    </row>
  </sheetData>
  <mergeCells count="4">
    <mergeCell ref="A1:N1"/>
    <mergeCell ref="A6:N6"/>
    <mergeCell ref="A28:N28"/>
    <mergeCell ref="A50:N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2022-03-03T12:40:47Z</dcterms:created>
  <dc:creator>Matt Miller</dc:creator>
  <dc:description/>
  <dc:language>en-US</dc:language>
  <cp:lastModifiedBy>Lance Nunn</cp:lastModifiedBy>
  <cp:lastPrinted>2022-07-27T02:00:16Z</cp:lastPrinted>
  <dcterms:modified xsi:type="dcterms:W3CDTF">2026-07-29T14:46:32Z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0x0101009EE2C15EFD8DCC4E9BC7A508E2361C07</vt:lpwstr>
  </property>
  <property fmtid="{D5CDD505-2E9C-101B-9397-08002B2CF9AE}" pid="3" name="{A44787D4-0540-4523-9961-78E4036D8C6D}">
    <vt:lpwstr>{88EA2F5F-F076-4FFD-8050-C88B47155034}</vt:lpwstr>
  </property>
</Properties>
</file>